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周计划" sheetId="2" state="visible" r:id="rId2"/>
    <sheet xmlns:r="http://schemas.openxmlformats.org/officeDocument/2006/relationships" name="周材料" sheetId="3" state="visible" r:id="rId3"/>
    <sheet xmlns:r="http://schemas.openxmlformats.org/officeDocument/2006/relationships" name="成果验收" sheetId="4" state="visible" r:id="rId4"/>
    <sheet xmlns:r="http://schemas.openxmlformats.org/officeDocument/2006/relationships" name="里程碑" sheetId="5" state="visible" r:id="rId5"/>
    <sheet xmlns:r="http://schemas.openxmlformats.org/officeDocument/2006/relationships" name="资源清单" sheetId="6" state="visible" r:id="rId6"/>
  </sheets>
  <definedNames>
    <definedName name="_xlnm._FilterDatabase" localSheetId="1" hidden="1">'周计划'!$A$1:$K$39</definedName>
    <definedName name="_xlnm._FilterDatabase" localSheetId="2" hidden="1">'周材料'!$A$3:$G$231</definedName>
    <definedName name="_xlnm._FilterDatabase" localSheetId="3" hidden="1">'成果验收'!$A$3:$G$41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17">
    <font>
      <name val="Calibri"/>
      <family val="2"/>
      <color theme="1"/>
      <sz val="11"/>
      <scheme val="minor"/>
    </font>
    <font>
      <b val="1"/>
      <color rgb="00FFFFFF"/>
      <sz val="16"/>
    </font>
    <font>
      <color rgb="0044546A"/>
      <sz val="10"/>
    </font>
    <font>
      <i val="1"/>
      <color rgb="007F7F7F"/>
      <sz val="10"/>
    </font>
    <font>
      <b val="1"/>
      <color rgb="001F3A5F"/>
    </font>
    <font>
      <b val="1"/>
      <sz val="12"/>
    </font>
    <font>
      <b val="1"/>
      <color rgb="00FFFFFF"/>
      <sz val="12"/>
    </font>
    <font>
      <b val="1"/>
      <color rgb="00FFFFFF"/>
    </font>
    <font>
      <b val="1"/>
      <color rgb="00FFFFFF"/>
      <sz val="10"/>
    </font>
    <font>
      <sz val="10"/>
    </font>
    <font>
      <b val="1"/>
      <color rgb="00FFFFFF"/>
      <sz val="14"/>
    </font>
    <font>
      <color rgb="000563C1"/>
      <sz val="10"/>
      <u val="single"/>
    </font>
    <font>
      <sz val="9"/>
    </font>
    <font>
      <color rgb="000563C1"/>
      <sz val="9"/>
      <u val="single"/>
    </font>
    <font>
      <color rgb="00808080"/>
      <sz val="9"/>
    </font>
    <font>
      <b val="1"/>
      <sz val="9"/>
    </font>
    <font>
      <color rgb="00808080"/>
      <sz val="8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8"/>
      </patternFill>
    </fill>
    <fill>
      <patternFill patternType="solid">
        <fgColor rgb="002E5E8C"/>
      </patternFill>
    </fill>
    <fill>
      <patternFill patternType="solid">
        <fgColor rgb="005B7FA6"/>
      </patternFill>
    </fill>
    <fill>
      <patternFill patternType="solid">
        <fgColor rgb="00F2F4F7"/>
      </patternFill>
    </fill>
  </fills>
  <borders count="5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/>
      <right/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/>
      <diagonal/>
    </border>
    <border>
      <left/>
      <right style="thin">
        <color rgb="00D0D7DE"/>
      </right>
      <top style="thin">
        <color rgb="00D0D7DE"/>
      </top>
      <bottom style="thin">
        <color rgb="00D0D7DE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1" pivotButton="0" quotePrefix="0" xfId="0"/>
    <xf numFmtId="1" fontId="5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left"/>
    </xf>
    <xf numFmtId="165" fontId="5" fillId="3" borderId="1" applyAlignment="1" pivotButton="0" quotePrefix="0" xfId="0">
      <alignment horizontal="left"/>
    </xf>
    <xf numFmtId="0" fontId="6" fillId="4" borderId="0" pivotButton="0" quotePrefix="0" xfId="0"/>
    <xf numFmtId="0" fontId="0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1" applyAlignment="1" pivotButton="0" quotePrefix="0" xfId="0">
      <alignment vertical="center" wrapText="1" inden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 indent="1"/>
    </xf>
    <xf numFmtId="0" fontId="0" fillId="6" borderId="1" pivotButton="0" quotePrefix="0" xfId="0"/>
    <xf numFmtId="0" fontId="0" fillId="6" borderId="1" applyAlignment="1" pivotButton="0" quotePrefix="0" xfId="0">
      <alignment horizontal="center" vertical="center"/>
    </xf>
    <xf numFmtId="9" fontId="0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166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vertical="center" indent="1"/>
    </xf>
    <xf numFmtId="0" fontId="7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166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center" vertical="top"/>
    </xf>
    <xf numFmtId="0" fontId="16" fillId="0" borderId="1" applyAlignment="1" pivotButton="0" quotePrefix="0" xfId="0">
      <alignment vertical="top" wrapText="1"/>
    </xf>
    <xf numFmtId="0" fontId="12" fillId="0" borderId="1" applyAlignment="1" pivotButton="0" quotePrefix="0" xfId="0">
      <alignment horizontal="left" vertical="top"/>
    </xf>
    <xf numFmtId="0" fontId="14" fillId="0" borderId="1" applyAlignment="1" pivotButton="0" quotePrefix="0" xfId="0">
      <alignment vertical="top" wrapText="1"/>
    </xf>
    <xf numFmtId="0" fontId="12" fillId="0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left" vertical="top"/>
    </xf>
    <xf numFmtId="0" fontId="12" fillId="0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left" vertical="top"/>
    </xf>
    <xf numFmtId="0" fontId="12" fillId="0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left" vertical="top"/>
    </xf>
    <xf numFmtId="0" fontId="12" fillId="0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left" vertical="top"/>
    </xf>
    <xf numFmtId="0" fontId="12" fillId="0" borderId="1" applyAlignment="1" pivotButton="0" quotePrefix="0" xfId="0">
      <alignment horizontal="center" vertical="top"/>
    </xf>
    <xf numFmtId="0" fontId="12" fillId="6" borderId="1" applyAlignment="1" pivotButton="0" quotePrefix="0" xfId="0">
      <alignment horizontal="center" vertical="top"/>
    </xf>
    <xf numFmtId="0" fontId="12" fillId="6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left" vertical="top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docs.astral.sh/uv/" TargetMode="External" Id="rId1"/><Relationship Type="http://schemas.openxmlformats.org/officeDocument/2006/relationships/hyperlink" Target="https://docs.pydantic.dev/latest/" TargetMode="External" Id="rId2"/><Relationship Type="http://schemas.openxmlformats.org/officeDocument/2006/relationships/hyperlink" Target="https://www.python-httpx.org/async/" TargetMode="External" Id="rId3"/><Relationship Type="http://schemas.openxmlformats.org/officeDocument/2006/relationships/hyperlink" Target="https://api-docs.deepseek.com/" TargetMode="External" Id="rId4"/><Relationship Type="http://schemas.openxmlformats.org/officeDocument/2006/relationships/hyperlink" Target="https://www.python-httpx.org/advanced/" TargetMode="External" Id="rId5"/><Relationship Type="http://schemas.openxmlformats.org/officeDocument/2006/relationships/hyperlink" Target="https://fastapi.tiangolo.com/tutorial/" TargetMode="External" Id="rId6"/><Relationship Type="http://schemas.openxmlformats.org/officeDocument/2006/relationships/hyperlink" Target="https://fastapi.tiangolo.com/tutorial/body/" TargetMode="External" Id="rId7"/><Relationship Type="http://schemas.openxmlformats.org/officeDocument/2006/relationships/hyperlink" Target="https://fastapi.tiangolo.com/tutorial/dependencies/" TargetMode="External" Id="rId8"/><Relationship Type="http://schemas.openxmlformats.org/officeDocument/2006/relationships/hyperlink" Target="https://docs.pytest.org/" TargetMode="External" Id="rId9"/><Relationship Type="http://schemas.openxmlformats.org/officeDocument/2006/relationships/hyperlink" Target="https://docs.pytest.org/en/stable/how-to/monkeypatch.html" TargetMode="External" Id="rId10"/><Relationship Type="http://schemas.openxmlformats.org/officeDocument/2006/relationships/hyperlink" Target="https://fastapi.tiangolo.com/tutorial/testing/" TargetMode="External" Id="rId11"/><Relationship Type="http://schemas.openxmlformats.org/officeDocument/2006/relationships/hyperlink" Target="https://docs.unstructured.io/" TargetMode="External" Id="rId12"/><Relationship Type="http://schemas.openxmlformats.org/officeDocument/2006/relationships/hyperlink" Target="https://github.com/opendatalab/MinerU" TargetMode="External" Id="rId13"/><Relationship Type="http://schemas.openxmlformats.org/officeDocument/2006/relationships/hyperlink" Target="https://www.pinecone.io/learn/chunking-strategies/" TargetMode="External" Id="rId14"/><Relationship Type="http://schemas.openxmlformats.org/officeDocument/2006/relationships/hyperlink" Target="https://www.sbert.net/" TargetMode="External" Id="rId15"/><Relationship Type="http://schemas.openxmlformats.org/officeDocument/2006/relationships/hyperlink" Target="https://docs.trychroma.com/" TargetMode="External" Id="rId16"/><Relationship Type="http://schemas.openxmlformats.org/officeDocument/2006/relationships/hyperlink" Target="https://github.com/facebookresearch/faiss/wiki" TargetMode="External" Id="rId17"/><Relationship Type="http://schemas.openxmlformats.org/officeDocument/2006/relationships/hyperlink" Target="https://docs.llamaindex.ai/" TargetMode="External" Id="rId18"/><Relationship Type="http://schemas.openxmlformats.org/officeDocument/2006/relationships/hyperlink" Target="https://en.wikipedia.org/wiki/Evaluation_measures_(information_retrieval)" TargetMode="External" Id="rId19"/><Relationship Type="http://schemas.openxmlformats.org/officeDocument/2006/relationships/hyperlink" Target="https://docs.ragas.io/en/stable/concepts/test_data_generation/" TargetMode="External" Id="rId20"/><Relationship Type="http://schemas.openxmlformats.org/officeDocument/2006/relationships/hyperlink" Target="https://docs.ragas.io/en/stable/concepts/datasets/" TargetMode="External" Id="rId21"/><Relationship Type="http://schemas.openxmlformats.org/officeDocument/2006/relationships/hyperlink" Target="https://docs.pytest.org/en/stable/how-to/parametrize.html" TargetMode="External" Id="rId22"/><Relationship Type="http://schemas.openxmlformats.org/officeDocument/2006/relationships/hyperlink" Target="https://www.pinecone.io/learn/chunking-strategies/" TargetMode="External" Id="rId23"/><Relationship Type="http://schemas.openxmlformats.org/officeDocument/2006/relationships/hyperlink" Target="https://docs.llamaindex.ai/" TargetMode="External" Id="rId24"/><Relationship Type="http://schemas.openxmlformats.org/officeDocument/2006/relationships/hyperlink" Target="https://github.com/dorianbrown/rank_bm25" TargetMode="External" Id="rId25"/><Relationship Type="http://schemas.openxmlformats.org/officeDocument/2006/relationships/hyperlink" Target="https://github.com/langchain-ai/rag-from-scratch" TargetMode="External" Id="rId26"/><Relationship Type="http://schemas.openxmlformats.org/officeDocument/2006/relationships/hyperlink" Target="https://docs.cohere.com/docs/rerank-overview" TargetMode="External" Id="rId27"/><Relationship Type="http://schemas.openxmlformats.org/officeDocument/2006/relationships/hyperlink" Target="https://github.com/langchain-ai/rag-from-scratch" TargetMode="External" Id="rId28"/><Relationship Type="http://schemas.openxmlformats.org/officeDocument/2006/relationships/hyperlink" Target="https://docs.ragas.io/en/stable/concepts/metrics/available_metrics/" TargetMode="External" Id="rId29"/><Relationship Type="http://schemas.openxmlformats.org/officeDocument/2006/relationships/hyperlink" Target="https://docs.ragas.io/en/stable/getstarted/quickstart/" TargetMode="External" Id="rId30"/><Relationship Type="http://schemas.openxmlformats.org/officeDocument/2006/relationships/hyperlink" Target="https://milvus.io/docs" TargetMode="External" Id="rId31"/><Relationship Type="http://schemas.openxmlformats.org/officeDocument/2006/relationships/hyperlink" Target="https://docs.docker.com/" TargetMode="External" Id="rId32"/><Relationship Type="http://schemas.openxmlformats.org/officeDocument/2006/relationships/hyperlink" Target="https://www.makeareadme.com/" TargetMode="External" Id="rId33"/><Relationship Type="http://schemas.openxmlformats.org/officeDocument/2006/relationships/hyperlink" Target="https://www.anthropic.com/engineering/building-effective-agents" TargetMode="External" Id="rId34"/><Relationship Type="http://schemas.openxmlformats.org/officeDocument/2006/relationships/hyperlink" Target="https://arxiv.org/abs/2210.03629" TargetMode="External" Id="rId35"/><Relationship Type="http://schemas.openxmlformats.org/officeDocument/2006/relationships/hyperlink" Target="https://lilianweng.github.io/posts/2023-06-23-agent/" TargetMode="External" Id="rId36"/><Relationship Type="http://schemas.openxmlformats.org/officeDocument/2006/relationships/hyperlink" Target="https://platform.openai.com/docs/guides/function-calling" TargetMode="External" Id="rId37"/><Relationship Type="http://schemas.openxmlformats.org/officeDocument/2006/relationships/hyperlink" Target="https://docs.pydantic.dev/latest/" TargetMode="External" Id="rId38"/><Relationship Type="http://schemas.openxmlformats.org/officeDocument/2006/relationships/hyperlink" Target="https://platform.openai.com/docs/guides/function-calling" TargetMode="External" Id="rId39"/><Relationship Type="http://schemas.openxmlformats.org/officeDocument/2006/relationships/hyperlink" Target="https://platform.openai.com/docs/guides/structured-outputs" TargetMode="External" Id="rId40"/><Relationship Type="http://schemas.openxmlformats.org/officeDocument/2006/relationships/hyperlink" Target="https://tenacity.readthedocs.io/" TargetMode="External" Id="rId41"/><Relationship Type="http://schemas.openxmlformats.org/officeDocument/2006/relationships/hyperlink" Target="https://www.anthropic.com/engineering/building-effective-agents" TargetMode="External" Id="rId42"/><Relationship Type="http://schemas.openxmlformats.org/officeDocument/2006/relationships/hyperlink" Target="https://docs.pytest.org/en/stable/how-to/parametrize.html" TargetMode="External" Id="rId43"/><Relationship Type="http://schemas.openxmlformats.org/officeDocument/2006/relationships/hyperlink" Target="https://modelcontextprotocol.io/" TargetMode="External" Id="rId44"/><Relationship Type="http://schemas.openxmlformats.org/officeDocument/2006/relationships/hyperlink" Target="https://modelcontextprotocol.io/docs/learn/architecture" TargetMode="External" Id="rId45"/><Relationship Type="http://schemas.openxmlformats.org/officeDocument/2006/relationships/hyperlink" Target="https://modelcontextprotocol.io/docs/develop/build-server" TargetMode="External" Id="rId46"/><Relationship Type="http://schemas.openxmlformats.org/officeDocument/2006/relationships/hyperlink" Target="https://github.com/modelcontextprotocol/python-sdk" TargetMode="External" Id="rId47"/><Relationship Type="http://schemas.openxmlformats.org/officeDocument/2006/relationships/hyperlink" Target="https://modelcontextprotocol.io/docs/tools/debugging" TargetMode="External" Id="rId48"/><Relationship Type="http://schemas.openxmlformats.org/officeDocument/2006/relationships/hyperlink" Target="https://modelcontextprotocol.io/examples" TargetMode="External" Id="rId49"/><Relationship Type="http://schemas.openxmlformats.org/officeDocument/2006/relationships/hyperlink" Target="https://www.anthropic.com/engineering/effective-context-engineering-for-ai-agents" TargetMode="External" Id="rId50"/><Relationship Type="http://schemas.openxmlformats.org/officeDocument/2006/relationships/hyperlink" Target="https://docs.langchain.com/oss/python/langgraph/add-memory" TargetMode="External" Id="rId51"/><Relationship Type="http://schemas.openxmlformats.org/officeDocument/2006/relationships/hyperlink" Target="https://github.com/mem0ai/mem0" TargetMode="External" Id="rId52"/><Relationship Type="http://schemas.openxmlformats.org/officeDocument/2006/relationships/hyperlink" Target="https://www.anthropic.com/engineering/effective-context-engineering-for-ai-agents" TargetMode="External" Id="rId53"/><Relationship Type="http://schemas.openxmlformats.org/officeDocument/2006/relationships/hyperlink" Target="https://langfuse.com/docs" TargetMode="External" Id="rId54"/><Relationship Type="http://schemas.openxmlformats.org/officeDocument/2006/relationships/hyperlink" Target="https://docs.langchain.com/oss/python/langgraph/overview" TargetMode="External" Id="rId55"/><Relationship Type="http://schemas.openxmlformats.org/officeDocument/2006/relationships/hyperlink" Target="https://docs.langchain.com/oss/python/langgraph/persistence" TargetMode="External" Id="rId56"/><Relationship Type="http://schemas.openxmlformats.org/officeDocument/2006/relationships/hyperlink" Target="https://docs.langchain.com/oss/python/langgraph/interrupts" TargetMode="External" Id="rId57"/><Relationship Type="http://schemas.openxmlformats.org/officeDocument/2006/relationships/hyperlink" Target="https://github.com/shareAI-lab/learn-claude-code" TargetMode="External" Id="rId58"/><Relationship Type="http://schemas.openxmlformats.org/officeDocument/2006/relationships/hyperlink" Target="https://github.com/anthropics/claude-code" TargetMode="External" Id="rId59"/><Relationship Type="http://schemas.openxmlformats.org/officeDocument/2006/relationships/hyperlink" Target="https://github.com/benfred/py-spy" TargetMode="External" Id="rId60"/><Relationship Type="http://schemas.openxmlformats.org/officeDocument/2006/relationships/hyperlink" Target="https://redis.readthedocs.io/" TargetMode="External" Id="rId61"/><Relationship Type="http://schemas.openxmlformats.org/officeDocument/2006/relationships/hyperlink" Target="https://langfuse.com/docs" TargetMode="External" Id="rId62"/><Relationship Type="http://schemas.openxmlformats.org/officeDocument/2006/relationships/hyperlink" Target="https://fastapi.tiangolo.com/async/" TargetMode="External" Id="rId63"/><Relationship Type="http://schemas.openxmlformats.org/officeDocument/2006/relationships/hyperlink" Target="https://docs.locust.io/" TargetMode="External" Id="rId64"/><Relationship Type="http://schemas.openxmlformats.org/officeDocument/2006/relationships/hyperlink" Target="https://docs.litellm.ai/" TargetMode="External" Id="rId65"/><Relationship Type="http://schemas.openxmlformats.org/officeDocument/2006/relationships/hyperlink" Target="https://docs.litellm.ai/docs/routing" TargetMode="External" Id="rId66"/><Relationship Type="http://schemas.openxmlformats.org/officeDocument/2006/relationships/hyperlink" Target="https://docs.vllm.ai/" TargetMode="External" Id="rId67"/><Relationship Type="http://schemas.openxmlformats.org/officeDocument/2006/relationships/hyperlink" Target="https://docs.vllm.ai/en/latest/getting_started/quickstart.html" TargetMode="External" Id="rId68"/><Relationship Type="http://schemas.openxmlformats.org/officeDocument/2006/relationships/hyperlink" Target="https://docs.litellm.ai/" TargetMode="External" Id="rId69"/><Relationship Type="http://schemas.openxmlformats.org/officeDocument/2006/relationships/hyperlink" Target="https://opentelemetry.io/docs/languages/python/" TargetMode="External" Id="rId70"/><Relationship Type="http://schemas.openxmlformats.org/officeDocument/2006/relationships/hyperlink" Target="https://langfuse.com/docs" TargetMode="External" Id="rId71"/><Relationship Type="http://schemas.openxmlformats.org/officeDocument/2006/relationships/hyperlink" Target="https://github.com/prometheus/client_python" TargetMode="External" Id="rId72"/><Relationship Type="http://schemas.openxmlformats.org/officeDocument/2006/relationships/hyperlink" Target="https://grafana.com/docs/" TargetMode="External" Id="rId73"/><Relationship Type="http://schemas.openxmlformats.org/officeDocument/2006/relationships/hyperlink" Target="https://prometheus.io/docs/practices/alerting/" TargetMode="External" Id="rId74"/><Relationship Type="http://schemas.openxmlformats.org/officeDocument/2006/relationships/hyperlink" Target="https://docs.docker.com/compose/" TargetMode="External" Id="rId75"/><Relationship Type="http://schemas.openxmlformats.org/officeDocument/2006/relationships/hyperlink" Target="https://docs.github.com/en/actions/automating-builds-and-tests/building-and-testing-python" TargetMode="External" Id="rId76"/><Relationship Type="http://schemas.openxmlformats.org/officeDocument/2006/relationships/hyperlink" Target="https://docs.github.com/en/actions/using-workflows/caching-dependencies-to-speed-up-workflows" TargetMode="External" Id="rId77"/><Relationship Type="http://schemas.openxmlformats.org/officeDocument/2006/relationships/hyperlink" Target="https://principlesofchaos.org/" TargetMode="External" Id="rId78"/><Relationship Type="http://schemas.openxmlformats.org/officeDocument/2006/relationships/hyperlink" Target="https://sre.google/sre-book/postmortem-culture/" TargetMode="External" Id="rId79"/><Relationship Type="http://schemas.openxmlformats.org/officeDocument/2006/relationships/hyperlink" Target="https://www.makeareadme.com/" TargetMode="External" Id="rId80"/><Relationship Type="http://schemas.openxmlformats.org/officeDocument/2006/relationships/hyperlink" Target="https://www.anthropic.com/engineering" TargetMode="External" Id="rId81"/><Relationship Type="http://schemas.openxmlformats.org/officeDocument/2006/relationships/hyperlink" Target="https://inspect.aisi.org.uk/" TargetMode="External" Id="rId82"/><Relationship Type="http://schemas.openxmlformats.org/officeDocument/2006/relationships/hyperlink" Target="https://arxiv.org/abs/2306.05685" TargetMode="External" Id="rId83"/><Relationship Type="http://schemas.openxmlformats.org/officeDocument/2006/relationships/hyperlink" Target="https://arxiv.org/abs/2406.12045" TargetMode="External" Id="rId84"/><Relationship Type="http://schemas.openxmlformats.org/officeDocument/2006/relationships/hyperlink" Target="https://inspect.aisi.org.uk/datasets.html" TargetMode="External" Id="rId85"/><Relationship Type="http://schemas.openxmlformats.org/officeDocument/2006/relationships/hyperlink" Target="https://docs.ragas.io/en/stable/concepts/metrics/available_metrics/general_purpose/" TargetMode="External" Id="rId86"/><Relationship Type="http://schemas.openxmlformats.org/officeDocument/2006/relationships/hyperlink" Target="https://www.promptfoo.dev/docs/intro/" TargetMode="External" Id="rId87"/><Relationship Type="http://schemas.openxmlformats.org/officeDocument/2006/relationships/hyperlink" Target="https://deepeval.com/docs/getting-started" TargetMode="External" Id="rId88"/><Relationship Type="http://schemas.openxmlformats.org/officeDocument/2006/relationships/hyperlink" Target="https://inspect.aisi.org.uk/parallelism.html" TargetMode="External" Id="rId89"/><Relationship Type="http://schemas.openxmlformats.org/officeDocument/2006/relationships/hyperlink" Target="https://inspect.aisi.org.uk/analysis.html" TargetMode="External" Id="rId90"/><Relationship Type="http://schemas.openxmlformats.org/officeDocument/2006/relationships/hyperlink" Target="https://inspect.aisi.org.uk/eval-logs.html" TargetMode="External" Id="rId91"/><Relationship Type="http://schemas.openxmlformats.org/officeDocument/2006/relationships/hyperlink" Target="https://www.anthropic.com/engineering/multi-agent-research-system" TargetMode="External" Id="rId92"/><Relationship Type="http://schemas.openxmlformats.org/officeDocument/2006/relationships/hyperlink" Target="https://microsoft.github.io/autogen/" TargetMode="External" Id="rId93"/><Relationship Type="http://schemas.openxmlformats.org/officeDocument/2006/relationships/hyperlink" Target="https://docs.crewai.com/" TargetMode="External" Id="rId94"/><Relationship Type="http://schemas.openxmlformats.org/officeDocument/2006/relationships/hyperlink" Target="https://www.anthropic.com/engineering/building-effective-agents" TargetMode="External" Id="rId95"/><Relationship Type="http://schemas.openxmlformats.org/officeDocument/2006/relationships/hyperlink" Target="https://docs.langchain.com/oss/python/langgraph/use-subgraphs" TargetMode="External" Id="rId96"/><Relationship Type="http://schemas.openxmlformats.org/officeDocument/2006/relationships/hyperlink" Target="https://www.anthropic.com/engineering/building-effective-agents" TargetMode="External" Id="rId97"/><Relationship Type="http://schemas.openxmlformats.org/officeDocument/2006/relationships/hyperlink" Target="https://inspect.aisi.org.uk/tasks.html" TargetMode="External" Id="rId98"/><Relationship Type="http://schemas.openxmlformats.org/officeDocument/2006/relationships/hyperlink" Target="https://www.anthropic.com/engineering/effective-context-engineering-for-ai-agents" TargetMode="External" Id="rId99"/><Relationship Type="http://schemas.openxmlformats.org/officeDocument/2006/relationships/hyperlink" Target="https://modelcontextprotocol.io/docs/develop/build-server" TargetMode="External" Id="rId100"/><Relationship Type="http://schemas.openxmlformats.org/officeDocument/2006/relationships/hyperlink" Target="https://fastapi.tiangolo.com/" TargetMode="External" Id="rId101"/><Relationship Type="http://schemas.openxmlformats.org/officeDocument/2006/relationships/hyperlink" Target="https://tenacity.readthedocs.io/" TargetMode="External" Id="rId102"/><Relationship Type="http://schemas.openxmlformats.org/officeDocument/2006/relationships/hyperlink" Target="https://langfuse.com/docs" TargetMode="External" Id="rId103"/><Relationship Type="http://schemas.openxmlformats.org/officeDocument/2006/relationships/hyperlink" Target="https://www.makeareadme.com/" TargetMode="External" Id="rId104"/><Relationship Type="http://schemas.openxmlformats.org/officeDocument/2006/relationships/hyperlink" Target="https://www.gradio.app/" TargetMode="External" Id="rId105"/><Relationship Type="http://schemas.openxmlformats.org/officeDocument/2006/relationships/hyperlink" Target="https://streamlit.io/" TargetMode="External" Id="rId106"/><Relationship Type="http://schemas.openxmlformats.org/officeDocument/2006/relationships/hyperlink" Target="https://inspect.aisi.org.uk/log-viewer.html" TargetMode="External" Id="rId107"/><Relationship Type="http://schemas.openxmlformats.org/officeDocument/2006/relationships/hyperlink" Target="https://www.techinterviewhandbook.org/resume/" TargetMode="External" Id="rId108"/><Relationship Type="http://schemas.openxmlformats.org/officeDocument/2006/relationships/hyperlink" Target="https://github.com/adongwanai/AgentGuide" TargetMode="External" Id="rId109"/><Relationship Type="http://schemas.openxmlformats.org/officeDocument/2006/relationships/hyperlink" Target="https://adongwanai.github.io/AgentGuide/interview/" TargetMode="External" Id="rId110"/><Relationship Type="http://schemas.openxmlformats.org/officeDocument/2006/relationships/hyperlink" Target="https://docs.ragas.io/en/stable/concepts/metrics/available_metrics/" TargetMode="External" Id="rId111"/><Relationship Type="http://schemas.openxmlformats.org/officeDocument/2006/relationships/hyperlink" Target="https://www.techinterviewhandbook.org/" TargetMode="External" Id="rId112"/><Relationship Type="http://schemas.openxmlformats.org/officeDocument/2006/relationships/hyperlink" Target="https://pytorch.org/tutorials/beginner/deep_learning_60min_blitz.html" TargetMode="External" Id="rId113"/><Relationship Type="http://schemas.openxmlformats.org/officeDocument/2006/relationships/hyperlink" Target="https://pytorch.org/tutorials/beginner/basics/intro.html" TargetMode="External" Id="rId114"/><Relationship Type="http://schemas.openxmlformats.org/officeDocument/2006/relationships/hyperlink" Target="https://github.com/MilkClouds/awesome-vla-study" TargetMode="External" Id="rId115"/><Relationship Type="http://schemas.openxmlformats.org/officeDocument/2006/relationships/hyperlink" Target="https://github.com/zengxiong111/Foundation_of_Embodied_AI" TargetMode="External" Id="rId116"/><Relationship Type="http://schemas.openxmlformats.org/officeDocument/2006/relationships/hyperlink" Target="https://github.com/zengxiong111/Foundation_of_Embodied_AI" TargetMode="External" Id="rId117"/><Relationship Type="http://schemas.openxmlformats.org/officeDocument/2006/relationships/hyperlink" Target="https://github.com/zengxiong111/Foundation_of_Embodied_AI" TargetMode="External" Id="rId118"/><Relationship Type="http://schemas.openxmlformats.org/officeDocument/2006/relationships/hyperlink" Target="https://docs.ros.org/en/jazzy/Tutorials.html" TargetMode="External" Id="rId119"/><Relationship Type="http://schemas.openxmlformats.org/officeDocument/2006/relationships/hyperlink" Target="https://docs.ros.org/en/jazzy/Tutorials/Beginner-Client-Libraries/Writing-A-Simple-Py-Publisher-And-Subscriber.html" TargetMode="External" Id="rId120"/><Relationship Type="http://schemas.openxmlformats.org/officeDocument/2006/relationships/hyperlink" Target="https://docs.ros.org/en/jazzy/Tutorials/Intermediate/URDF/URDF-Main.html" TargetMode="External" Id="rId121"/><Relationship Type="http://schemas.openxmlformats.org/officeDocument/2006/relationships/hyperlink" Target="https://mujoco.readthedocs.io/en/stable/" TargetMode="External" Id="rId122"/><Relationship Type="http://schemas.openxmlformats.org/officeDocument/2006/relationships/hyperlink" Target="https://gymnasium.farama.org/" TargetMode="External" Id="rId123"/><Relationship Type="http://schemas.openxmlformats.org/officeDocument/2006/relationships/hyperlink" Target="https://gymnasium.farama.org/tutorials/gymnasium_basics/environment_creation/" TargetMode="External" Id="rId124"/><Relationship Type="http://schemas.openxmlformats.org/officeDocument/2006/relationships/hyperlink" Target="https://arxiv.org/abs/1707.06347" TargetMode="External" Id="rId125"/><Relationship Type="http://schemas.openxmlformats.org/officeDocument/2006/relationships/hyperlink" Target="https://spinningup.openai.com/" TargetMode="External" Id="rId126"/><Relationship Type="http://schemas.openxmlformats.org/officeDocument/2006/relationships/hyperlink" Target="https://stable-baselines3.readthedocs.io/" TargetMode="External" Id="rId127"/><Relationship Type="http://schemas.openxmlformats.org/officeDocument/2006/relationships/hyperlink" Target="https://stable-baselines3.readthedocs.io/en/master/guide/rl_tips.html" TargetMode="External" Id="rId128"/><Relationship Type="http://schemas.openxmlformats.org/officeDocument/2006/relationships/hyperlink" Target="https://arxiv.org/abs/2304.13705" TargetMode="External" Id="rId129"/><Relationship Type="http://schemas.openxmlformats.org/officeDocument/2006/relationships/hyperlink" Target="https://arxiv.org/abs/2303.04137" TargetMode="External" Id="rId130"/><Relationship Type="http://schemas.openxmlformats.org/officeDocument/2006/relationships/hyperlink" Target="https://github.com/huggingface/lerobot" TargetMode="External" Id="rId131"/><Relationship Type="http://schemas.openxmlformats.org/officeDocument/2006/relationships/hyperlink" Target="https://huggingface.co/docs/lerobot" TargetMode="External" Id="rId132"/><Relationship Type="http://schemas.openxmlformats.org/officeDocument/2006/relationships/hyperlink" Target="https://huggingface.co/docs/lerobot" TargetMode="External" Id="rId133"/><Relationship Type="http://schemas.openxmlformats.org/officeDocument/2006/relationships/hyperlink" Target="https://huggingface.co/docs/lerobot" TargetMode="External" Id="rId134"/><Relationship Type="http://schemas.openxmlformats.org/officeDocument/2006/relationships/hyperlink" Target="https://arxiv.org/abs/2307.15818" TargetMode="External" Id="rId135"/><Relationship Type="http://schemas.openxmlformats.org/officeDocument/2006/relationships/hyperlink" Target="https://arxiv.org/abs/2406.09246" TargetMode="External" Id="rId136"/><Relationship Type="http://schemas.openxmlformats.org/officeDocument/2006/relationships/hyperlink" Target="https://openvla.github.io/" TargetMode="External" Id="rId137"/><Relationship Type="http://schemas.openxmlformats.org/officeDocument/2006/relationships/hyperlink" Target="https://arxiv.org/abs/2410.24164" TargetMode="External" Id="rId138"/><Relationship Type="http://schemas.openxmlformats.org/officeDocument/2006/relationships/hyperlink" Target="https://github.com/Physical-Intelligence/openpi" TargetMode="External" Id="rId139"/><Relationship Type="http://schemas.openxmlformats.org/officeDocument/2006/relationships/hyperlink" Target="https://github.com/NVIDIA/Isaac-GR00T" TargetMode="External" Id="rId140"/><Relationship Type="http://schemas.openxmlformats.org/officeDocument/2006/relationships/hyperlink" Target="https://arxiv.org/abs/2210.02747" TargetMode="External" Id="rId141"/><Relationship Type="http://schemas.openxmlformats.org/officeDocument/2006/relationships/hyperlink" Target="https://github.com/Lifelong-Robot-Learning/LIBERO" TargetMode="External" Id="rId142"/><Relationship Type="http://schemas.openxmlformats.org/officeDocument/2006/relationships/hyperlink" Target="https://github.com/openvla/openvla" TargetMode="External" Id="rId143"/><Relationship Type="http://schemas.openxmlformats.org/officeDocument/2006/relationships/hyperlink" Target="https://arxiv.org/abs/2106.09685" TargetMode="External" Id="rId144"/><Relationship Type="http://schemas.openxmlformats.org/officeDocument/2006/relationships/hyperlink" Target="https://huggingface.co/docs/peft" TargetMode="External" Id="rId145"/><Relationship Type="http://schemas.openxmlformats.org/officeDocument/2006/relationships/hyperlink" Target="https://isaac-sim.github.io/IsaacLab/" TargetMode="External" Id="rId146"/><Relationship Type="http://schemas.openxmlformats.org/officeDocument/2006/relationships/hyperlink" Target="https://docs.isaacsim.omniverse.nvidia.com/" TargetMode="External" Id="rId147"/><Relationship Type="http://schemas.openxmlformats.org/officeDocument/2006/relationships/hyperlink" Target="https://isaac-sim.github.io/IsaacLab/main/source/overview/reinforcement-learning/rl_existing_scripts.html" TargetMode="External" Id="rId148"/><Relationship Type="http://schemas.openxmlformats.org/officeDocument/2006/relationships/hyperlink" Target="https://docs.nvidia.com/learning/physical-ai/robotics.html" TargetMode="External" Id="rId149"/><Relationship Type="http://schemas.openxmlformats.org/officeDocument/2006/relationships/hyperlink" Target="https://docs.ros.org/en/jazzy/Tutorials/Intermediate/Tf2/Tf2-Main.html" TargetMode="External" Id="rId150"/><Relationship Type="http://schemas.openxmlformats.org/officeDocument/2006/relationships/hyperlink" Target="https://github.com/Lifelong-Robot-Learning/LIBERO" TargetMode="External" Id="rId151"/><Relationship Type="http://schemas.openxmlformats.org/officeDocument/2006/relationships/hyperlink" Target="https://github.com/mees/calvin" TargetMode="External" Id="rId15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anthropic.com/engineering/building-effective-agents" TargetMode="External" Id="rId1"/><Relationship Type="http://schemas.openxmlformats.org/officeDocument/2006/relationships/hyperlink" Target="https://openai.com/business/guides-and-resources/a-practical-guide-to-building-ai-agents/" TargetMode="External" Id="rId2"/><Relationship Type="http://schemas.openxmlformats.org/officeDocument/2006/relationships/hyperlink" Target="https://datawhalechina.github.io/hello-agents/" TargetMode="External" Id="rId3"/><Relationship Type="http://schemas.openxmlformats.org/officeDocument/2006/relationships/hyperlink" Target="https://github.com/datawhalechina/all-in-rag" TargetMode="External" Id="rId4"/><Relationship Type="http://schemas.openxmlformats.org/officeDocument/2006/relationships/hyperlink" Target="https://github.com/langchain-ai/rag-from-scratch" TargetMode="External" Id="rId5"/><Relationship Type="http://schemas.openxmlformats.org/officeDocument/2006/relationships/hyperlink" Target="https://docs.ragas.io/" TargetMode="External" Id="rId6"/><Relationship Type="http://schemas.openxmlformats.org/officeDocument/2006/relationships/hyperlink" Target="https://modelcontextprotocol.io/" TargetMode="External" Id="rId7"/><Relationship Type="http://schemas.openxmlformats.org/officeDocument/2006/relationships/hyperlink" Target="https://langchain-ai.github.io/langgraph/" TargetMode="External" Id="rId8"/><Relationship Type="http://schemas.openxmlformats.org/officeDocument/2006/relationships/hyperlink" Target="https://github.com/shareAI-lab/learn-claude-code" TargetMode="External" Id="rId9"/><Relationship Type="http://schemas.openxmlformats.org/officeDocument/2006/relationships/hyperlink" Target="https://langfuse.com/" TargetMode="External" Id="rId10"/><Relationship Type="http://schemas.openxmlformats.org/officeDocument/2006/relationships/hyperlink" Target="https://docs.vllm.ai/" TargetMode="External" Id="rId11"/><Relationship Type="http://schemas.openxmlformats.org/officeDocument/2006/relationships/hyperlink" Target="https://github.com/confident-ai/deepeval" TargetMode="External" Id="rId12"/><Relationship Type="http://schemas.openxmlformats.org/officeDocument/2006/relationships/hyperlink" Target="https://github.com/zengxiong111/Foundation_of_Embodied_AI" TargetMode="External" Id="rId13"/><Relationship Type="http://schemas.openxmlformats.org/officeDocument/2006/relationships/hyperlink" Target="https://github.com/MilkClouds/awesome-vla-study" TargetMode="External" Id="rId14"/><Relationship Type="http://schemas.openxmlformats.org/officeDocument/2006/relationships/hyperlink" Target="https://github.com/huggingface/lerobot" TargetMode="External" Id="rId15"/><Relationship Type="http://schemas.openxmlformats.org/officeDocument/2006/relationships/hyperlink" Target="https://github.com/Physical-Intelligence/openpi" TargetMode="External" Id="rId16"/><Relationship Type="http://schemas.openxmlformats.org/officeDocument/2006/relationships/hyperlink" Target="https://github.com/openvla/openvla" TargetMode="External" Id="rId17"/><Relationship Type="http://schemas.openxmlformats.org/officeDocument/2006/relationships/hyperlink" Target="https://github.com/Lifelong-Robot-Learning/LIBERO" TargetMode="External" Id="rId18"/><Relationship Type="http://schemas.openxmlformats.org/officeDocument/2006/relationships/hyperlink" Target="https://github.com/google-deepmind/mujoco" TargetMode="External" Id="rId19"/><Relationship Type="http://schemas.openxmlformats.org/officeDocument/2006/relationships/hyperlink" Target="https://github.com/isaac-sim/IsaacLab" TargetMode="External" Id="rId20"/><Relationship Type="http://schemas.openxmlformats.org/officeDocument/2006/relationships/hyperlink" Target="https://docs.nvidia.com/learning/physical-ai/robotics.html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8" customHeight="1">
      <c r="A1" s="1" t="inlineStr">
        <is>
          <t>Agent / 具身智能 38 周学习计划 · 进度追踪</t>
        </is>
      </c>
    </row>
    <row r="2">
      <c r="A2" s="2" t="inlineStr">
        <is>
          <t>测试开发转型 ｜ 每周 10 小时 ｜ 2026-10-19 起 ｜ 预期 2027-07-11 完成</t>
        </is>
      </c>
    </row>
    <row r="3">
      <c r="A3" s="3" t="inlineStr">
        <is>
          <t>用法：每周日填写「周计划」里的实际工时、状态、自评；本页自动汇总。状态只有 4 个值，别自创。</t>
        </is>
      </c>
    </row>
    <row r="5">
      <c r="A5" s="4" t="inlineStr">
        <is>
          <t>计划总周数</t>
        </is>
      </c>
      <c r="B5" s="5">
        <f>COUNTA(周计划!A2:A39)</f>
        <v/>
      </c>
    </row>
    <row r="6">
      <c r="A6" s="4" t="inlineStr">
        <is>
          <t>计划总工时</t>
        </is>
      </c>
      <c r="B6" s="5">
        <f>SUM(周计划!G2:G39)</f>
        <v/>
      </c>
    </row>
    <row r="7">
      <c r="A7" s="4" t="inlineStr">
        <is>
          <t>已完成周数</t>
        </is>
      </c>
      <c r="B7" s="5">
        <f>COUNTIF(周计划!I2:I39,"已完成")</f>
        <v/>
      </c>
    </row>
    <row r="8">
      <c r="A8" s="4" t="inlineStr">
        <is>
          <t>进行中周数</t>
        </is>
      </c>
      <c r="B8" s="5">
        <f>COUNTIF(周计划!I2:I39,"进行中")</f>
        <v/>
      </c>
    </row>
    <row r="9">
      <c r="A9" s="4" t="inlineStr">
        <is>
          <t>延期周数</t>
        </is>
      </c>
      <c r="B9" s="5">
        <f>COUNTIF(周计划!I2:I39,"延期")</f>
        <v/>
      </c>
    </row>
    <row r="10">
      <c r="A10" s="4" t="inlineStr">
        <is>
          <t>完成率</t>
        </is>
      </c>
      <c r="B10" s="6">
        <f>IFERROR(B7/B5,0)</f>
        <v/>
      </c>
    </row>
    <row r="11">
      <c r="A11" s="4" t="inlineStr">
        <is>
          <t>累计实际工时</t>
        </is>
      </c>
      <c r="B11" s="5">
        <f>SUM(周计划!H2:H39)</f>
        <v/>
      </c>
    </row>
    <row r="12">
      <c r="A12" s="4" t="inlineStr">
        <is>
          <t>剩余工时（计划-实际）</t>
        </is>
      </c>
      <c r="B12" s="5">
        <f>B6-B11</f>
        <v/>
      </c>
    </row>
    <row r="13">
      <c r="A13" s="4" t="inlineStr">
        <is>
          <t>平均自评（1-5）</t>
        </is>
      </c>
      <c r="B13" s="7">
        <f>IFERROR(AVERAGE(周计划!J2:J39),0)</f>
        <v/>
      </c>
    </row>
    <row r="16" ht="24" customHeight="1">
      <c r="A16" s="8" t="inlineStr">
        <is>
          <t>阶段汇总</t>
        </is>
      </c>
    </row>
    <row r="17">
      <c r="A17" s="10" t="inlineStr">
        <is>
          <t>阶段</t>
        </is>
      </c>
      <c r="B17" s="11" t="n"/>
      <c r="C17" s="10" t="inlineStr">
        <is>
          <t>周数</t>
        </is>
      </c>
      <c r="D17" s="10" t="inlineStr">
        <is>
          <t>计划工时</t>
        </is>
      </c>
      <c r="E17" s="10" t="inlineStr">
        <is>
          <t>已完成周</t>
        </is>
      </c>
      <c r="F17" s="10" t="inlineStr">
        <is>
          <t>完成率</t>
        </is>
      </c>
    </row>
    <row r="18" ht="26" customHeight="1">
      <c r="A18" s="12" t="inlineStr">
        <is>
          <t>阶段 0　地基 · 工程化与可测试服务</t>
        </is>
      </c>
      <c r="B18" s="11" t="n"/>
      <c r="C18" s="31">
        <f>COUNTIF(周计划!$D$2:$D$39,"阶段 0")</f>
        <v/>
      </c>
      <c r="D18" s="31">
        <f>SUMIF(周计划!$D$2:$D$39,"阶段 0",周计划!$G$2:$G$39)</f>
        <v/>
      </c>
      <c r="E18" s="31">
        <f>COUNTIFS(周计划!$D$2:$D$39,"阶段 0",周计划!$I$2:$I$39,"已完成")</f>
        <v/>
      </c>
      <c r="F18" s="15">
        <f>IFERROR(E18/C18,0)</f>
        <v/>
      </c>
    </row>
    <row r="19" ht="26" customHeight="1">
      <c r="A19" s="16" t="inlineStr">
        <is>
          <t>阶段 1　RAG · 检索增强与检索评估</t>
        </is>
      </c>
      <c r="B19" s="11" t="n"/>
      <c r="C19" s="34">
        <f>COUNTIF(周计划!$D$2:$D$39,"阶段 1")</f>
        <v/>
      </c>
      <c r="D19" s="34">
        <f>SUMIF(周计划!$D$2:$D$39,"阶段 1",周计划!$G$2:$G$39)</f>
        <v/>
      </c>
      <c r="E19" s="34">
        <f>COUNTIFS(周计划!$D$2:$D$39,"阶段 1",周计划!$I$2:$I$39,"已完成")</f>
        <v/>
      </c>
      <c r="F19" s="19">
        <f>IFERROR(E19/C19,0)</f>
        <v/>
      </c>
    </row>
    <row r="20" ht="26" customHeight="1">
      <c r="A20" s="12" t="inlineStr">
        <is>
          <t>阶段 2　Agent 核心 · Loop / Tool / Memory</t>
        </is>
      </c>
      <c r="B20" s="11" t="n"/>
      <c r="C20" s="31">
        <f>COUNTIF(周计划!$D$2:$D$39,"阶段 2")</f>
        <v/>
      </c>
      <c r="D20" s="31">
        <f>SUMIF(周计划!$D$2:$D$39,"阶段 2",周计划!$G$2:$G$39)</f>
        <v/>
      </c>
      <c r="E20" s="31">
        <f>COUNTIFS(周计划!$D$2:$D$39,"阶段 2",周计划!$I$2:$I$39,"已完成")</f>
        <v/>
      </c>
      <c r="F20" s="15">
        <f>IFERROR(E20/C20,0)</f>
        <v/>
      </c>
    </row>
    <row r="21" ht="26" customHeight="1">
      <c r="A21" s="16" t="inlineStr">
        <is>
          <t>阶段 3　工程化 · 缓存 / 异步 / 观测 / 部署</t>
        </is>
      </c>
      <c r="B21" s="11" t="n"/>
      <c r="C21" s="34">
        <f>COUNTIF(周计划!$D$2:$D$39,"阶段 3")</f>
        <v/>
      </c>
      <c r="D21" s="34">
        <f>SUMIF(周计划!$D$2:$D$39,"阶段 3",周计划!$G$2:$G$39)</f>
        <v/>
      </c>
      <c r="E21" s="34">
        <f>COUNTIFS(周计划!$D$2:$D$39,"阶段 3",周计划!$I$2:$I$39,"已完成")</f>
        <v/>
      </c>
      <c r="F21" s="19">
        <f>IFERROR(E21/C21,0)</f>
        <v/>
      </c>
    </row>
    <row r="22" ht="26" customHeight="1">
      <c r="A22" s="12" t="inlineStr">
        <is>
          <t>弹性周　弹性周 · 春节缓冲</t>
        </is>
      </c>
      <c r="B22" s="11" t="n"/>
      <c r="C22" s="31">
        <f>COUNTIF(周计划!$D$2:$D$39,"弹性周")</f>
        <v/>
      </c>
      <c r="D22" s="31">
        <f>SUMIF(周计划!$D$2:$D$39,"弹性周",周计划!$G$2:$G$39)</f>
        <v/>
      </c>
      <c r="E22" s="31">
        <f>COUNTIFS(周计划!$D$2:$D$39,"弹性周",周计划!$I$2:$I$39,"已完成")</f>
        <v/>
      </c>
      <c r="F22" s="15">
        <f>IFERROR(E22/C22,0)</f>
        <v/>
      </c>
    </row>
    <row r="23" ht="26" customHeight="1">
      <c r="A23" s="16" t="inlineStr">
        <is>
          <t>阶段 4　评测 · 三层评测 + Eval Harness</t>
        </is>
      </c>
      <c r="B23" s="11" t="n"/>
      <c r="C23" s="34">
        <f>COUNTIF(周计划!$D$2:$D$39,"阶段 4")</f>
        <v/>
      </c>
      <c r="D23" s="34">
        <f>SUMIF(周计划!$D$2:$D$39,"阶段 4",周计划!$G$2:$G$39)</f>
        <v/>
      </c>
      <c r="E23" s="34">
        <f>COUNTIFS(周计划!$D$2:$D$39,"阶段 4",周计划!$I$2:$I$39,"已完成")</f>
        <v/>
      </c>
      <c r="F23" s="19">
        <f>IFERROR(E23/C23,0)</f>
        <v/>
      </c>
    </row>
    <row r="24" ht="26" customHeight="1">
      <c r="A24" s="12" t="inlineStr">
        <is>
          <t>阶段 5　Multi-Agent 与两个项目</t>
        </is>
      </c>
      <c r="B24" s="11" t="n"/>
      <c r="C24" s="31">
        <f>COUNTIF(周计划!$D$2:$D$39,"阶段 5")</f>
        <v/>
      </c>
      <c r="D24" s="31">
        <f>SUMIF(周计划!$D$2:$D$39,"阶段 5",周计划!$G$2:$G$39)</f>
        <v/>
      </c>
      <c r="E24" s="31">
        <f>COUNTIFS(周计划!$D$2:$D$39,"阶段 5",周计划!$I$2:$I$39,"已完成")</f>
        <v/>
      </c>
      <c r="F24" s="15">
        <f>IFERROR(E24/C24,0)</f>
        <v/>
      </c>
    </row>
    <row r="25" ht="26" customHeight="1">
      <c r="A25" s="16" t="inlineStr">
        <is>
          <t>阶段 6　求职冲刺 · 简历与投递</t>
        </is>
      </c>
      <c r="B25" s="11" t="n"/>
      <c r="C25" s="34">
        <f>COUNTIF(周计划!$D$2:$D$39,"阶段 6")</f>
        <v/>
      </c>
      <c r="D25" s="34">
        <f>SUMIF(周计划!$D$2:$D$39,"阶段 6",周计划!$G$2:$G$39)</f>
        <v/>
      </c>
      <c r="E25" s="34">
        <f>COUNTIFS(周计划!$D$2:$D$39,"阶段 6",周计划!$I$2:$I$39,"已完成")</f>
        <v/>
      </c>
      <c r="F25" s="19">
        <f>IFERROR(E25/C25,0)</f>
        <v/>
      </c>
    </row>
    <row r="26" ht="26" customHeight="1">
      <c r="A26" s="12" t="inlineStr">
        <is>
          <t>阶段 B　具身 · 仿真 → 模仿学习 → VLA</t>
        </is>
      </c>
      <c r="B26" s="11" t="n"/>
      <c r="C26" s="31">
        <f>COUNTIF(周计划!$D$2:$D$39,"阶段 B")</f>
        <v/>
      </c>
      <c r="D26" s="31">
        <f>SUMIF(周计划!$D$2:$D$39,"阶段 B",周计划!$G$2:$G$39)</f>
        <v/>
      </c>
      <c r="E26" s="31">
        <f>COUNTIFS(周计划!$D$2:$D$39,"阶段 B",周计划!$I$2:$I$39,"已完成")</f>
        <v/>
      </c>
      <c r="F26" s="15">
        <f>IFERROR(E26/C26,0)</f>
        <v/>
      </c>
    </row>
  </sheetData>
  <mergeCells count="14">
    <mergeCell ref="A2:F2"/>
    <mergeCell ref="A16:F16"/>
    <mergeCell ref="A21:B21"/>
    <mergeCell ref="A20:B20"/>
    <mergeCell ref="A24:B24"/>
    <mergeCell ref="A26:B26"/>
    <mergeCell ref="A25:B25"/>
    <mergeCell ref="A19:B19"/>
    <mergeCell ref="A1:F1"/>
    <mergeCell ref="A23:B23"/>
    <mergeCell ref="A18:B18"/>
    <mergeCell ref="A17:B17"/>
    <mergeCell ref="A3:F3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.5" customWidth="1" min="2" max="2"/>
    <col width="11.5" customWidth="1" min="3" max="3"/>
    <col width="9.5" customWidth="1" min="4" max="4"/>
    <col width="54" customWidth="1" min="5" max="5"/>
    <col width="42" customWidth="1" min="6" max="6"/>
    <col width="9" customWidth="1" min="7" max="7"/>
    <col width="9" customWidth="1" min="8" max="8"/>
    <col width="9.5" customWidth="1" min="9" max="9"/>
    <col width="11.5" customWidth="1" min="10" max="10"/>
    <col width="28" customWidth="1" min="11" max="11"/>
  </cols>
  <sheetData>
    <row r="1" ht="34" customHeight="1">
      <c r="A1" s="20" t="inlineStr">
        <is>
          <t>周次</t>
        </is>
      </c>
      <c r="B1" s="20" t="inlineStr">
        <is>
          <t>开始日期</t>
        </is>
      </c>
      <c r="C1" s="20" t="inlineStr">
        <is>
          <t>结束日期</t>
        </is>
      </c>
      <c r="D1" s="20" t="inlineStr">
        <is>
          <t>阶段</t>
        </is>
      </c>
      <c r="E1" s="20" t="inlineStr">
        <is>
          <t>主线任务（工作日 5×1h 输入）</t>
        </is>
      </c>
      <c r="F1" s="20" t="inlineStr">
        <is>
          <t>周末交付（可验收）</t>
        </is>
      </c>
      <c r="G1" s="20" t="inlineStr">
        <is>
          <t>计划工时</t>
        </is>
      </c>
      <c r="H1" s="20" t="inlineStr">
        <is>
          <t>实际工时</t>
        </is>
      </c>
      <c r="I1" s="20" t="inlineStr">
        <is>
          <t>状态</t>
        </is>
      </c>
      <c r="J1" s="20" t="inlineStr">
        <is>
          <t>自评(1-5)</t>
        </is>
      </c>
      <c r="K1" s="20" t="inlineStr">
        <is>
          <t>备注 / 卡点</t>
        </is>
      </c>
    </row>
    <row r="2" ht="46" customHeight="1">
      <c r="A2" s="21" t="n">
        <v>1</v>
      </c>
      <c r="B2" s="22" t="n">
        <v>46314</v>
      </c>
      <c r="C2" s="22" t="n">
        <v>46320</v>
      </c>
      <c r="D2" s="21" t="inlineStr">
        <is>
          <t>阶段 0</t>
        </is>
      </c>
      <c r="E2" s="23" t="inlineStr">
        <is>
          <t>Python 工程化：uv/pyproject、类型注解 + Pydantic、async/httpx；调通一家 LLM API 并实现流式输出</t>
        </is>
      </c>
      <c r="F2" s="23" t="inlineStr">
        <is>
          <t>CLI 流式问答：超时 / 重试 / --debug 打印 token 用量</t>
        </is>
      </c>
      <c r="G2" s="21" t="n">
        <v>10</v>
      </c>
      <c r="H2" s="21" t="n"/>
      <c r="I2" s="21" t="inlineStr">
        <is>
          <t>未开始</t>
        </is>
      </c>
      <c r="J2" s="21" t="n"/>
      <c r="K2" s="23" t="n"/>
    </row>
    <row r="3" ht="46" customHeight="1">
      <c r="A3" s="24" t="n">
        <v>2</v>
      </c>
      <c r="B3" s="25" t="n">
        <v>46321</v>
      </c>
      <c r="C3" s="25" t="n">
        <v>46327</v>
      </c>
      <c r="D3" s="24" t="inlineStr">
        <is>
          <t>阶段 0</t>
        </is>
      </c>
      <c r="E3" s="26" t="inlineStr">
        <is>
          <t>FastAPI 路由与依赖注入；pytest + fixture + mock LLM；Docker 基础</t>
        </is>
      </c>
      <c r="F3" s="26" t="inlineStr">
        <is>
          <t>/chat 服务 + 8 条 pytest 全绿 + docker 一条命令起得来</t>
        </is>
      </c>
      <c r="G3" s="24" t="n">
        <v>10</v>
      </c>
      <c r="H3" s="24" t="n"/>
      <c r="I3" s="24" t="inlineStr">
        <is>
          <t>未开始</t>
        </is>
      </c>
      <c r="J3" s="24" t="n"/>
      <c r="K3" s="26" t="n"/>
    </row>
    <row r="4" ht="46" customHeight="1">
      <c r="A4" s="21" t="n">
        <v>3</v>
      </c>
      <c r="B4" s="22" t="n">
        <v>46328</v>
      </c>
      <c r="C4" s="22" t="n">
        <v>46334</v>
      </c>
      <c r="D4" s="21" t="inlineStr">
        <is>
          <t>阶段 1</t>
        </is>
      </c>
      <c r="E4" s="23" t="inlineStr">
        <is>
          <t>文档加载与切分（PDF/MD，表格图片）、Embedding 原理、Chroma/FAISS 本地索引</t>
        </is>
      </c>
      <c r="F4" s="23" t="inlineStr">
        <is>
          <t>50 份 PDF 建索引，按引用回答问题</t>
        </is>
      </c>
      <c r="G4" s="21" t="n">
        <v>10</v>
      </c>
      <c r="H4" s="21" t="n"/>
      <c r="I4" s="21" t="inlineStr">
        <is>
          <t>未开始</t>
        </is>
      </c>
      <c r="J4" s="21" t="n"/>
      <c r="K4" s="23" t="n"/>
    </row>
    <row r="5" ht="46" customHeight="1">
      <c r="A5" s="24" t="n">
        <v>4</v>
      </c>
      <c r="B5" s="25" t="n">
        <v>46335</v>
      </c>
      <c r="C5" s="25" t="n">
        <v>46341</v>
      </c>
      <c r="D5" s="24" t="inlineStr">
        <is>
          <t>阶段 1</t>
        </is>
      </c>
      <c r="E5" s="26" t="inlineStr">
        <is>
          <t>检索评估：先建 30 条评测集（问题 + 标准答案 + 应命中 chunk），再做 chunk 策略对比</t>
        </is>
      </c>
      <c r="F5" s="26" t="inlineStr">
        <is>
          <t>3 种 chunk 策略的 Recall@5 / MRR 对比表</t>
        </is>
      </c>
      <c r="G5" s="24" t="n">
        <v>10</v>
      </c>
      <c r="H5" s="24" t="n"/>
      <c r="I5" s="24" t="inlineStr">
        <is>
          <t>未开始</t>
        </is>
      </c>
      <c r="J5" s="24" t="n"/>
      <c r="K5" s="26" t="n"/>
    </row>
    <row r="6" ht="46" customHeight="1">
      <c r="A6" s="21" t="n">
        <v>5</v>
      </c>
      <c r="B6" s="22" t="n">
        <v>46342</v>
      </c>
      <c r="C6" s="22" t="n">
        <v>46348</v>
      </c>
      <c r="D6" s="21" t="inlineStr">
        <is>
          <t>阶段 1</t>
        </is>
      </c>
      <c r="E6" s="23" t="inlineStr">
        <is>
          <t>Advanced RAG：Query 改写（HyDE/Multi-Query）、BM25 + 向量混合检索、Reranker</t>
        </is>
      </c>
      <c r="F6" s="23" t="inlineStr">
        <is>
          <t>混合检索 + rerank 后 Recall@5 相对基线提升 ≥10%</t>
        </is>
      </c>
      <c r="G6" s="21" t="n">
        <v>10</v>
      </c>
      <c r="H6" s="21" t="n"/>
      <c r="I6" s="21" t="inlineStr">
        <is>
          <t>未开始</t>
        </is>
      </c>
      <c r="J6" s="21" t="n"/>
      <c r="K6" s="23" t="n"/>
    </row>
    <row r="7" ht="46" customHeight="1">
      <c r="A7" s="24" t="n">
        <v>6</v>
      </c>
      <c r="B7" s="25" t="n">
        <v>46349</v>
      </c>
      <c r="C7" s="25" t="n">
        <v>46355</v>
      </c>
      <c r="D7" s="24" t="inlineStr">
        <is>
          <t>阶段 1</t>
        </is>
      </c>
      <c r="E7" s="26" t="inlineStr">
        <is>
          <t>生成侧评估（RAGAs：Faithfulness / Answer Relevancy）、Milvus 单机部署、Docker 打包</t>
        </is>
      </c>
      <c r="F7" s="26" t="inlineStr">
        <is>
          <t>端到端系统 + 评估报告（基线 vs 优化版四指标）【M1】</t>
        </is>
      </c>
      <c r="G7" s="24" t="n">
        <v>10</v>
      </c>
      <c r="H7" s="24" t="n"/>
      <c r="I7" s="24" t="inlineStr">
        <is>
          <t>未开始</t>
        </is>
      </c>
      <c r="J7" s="24" t="n"/>
      <c r="K7" s="26" t="n"/>
    </row>
    <row r="8" ht="46" customHeight="1">
      <c r="A8" s="21" t="n">
        <v>7</v>
      </c>
      <c r="B8" s="22" t="n">
        <v>46356</v>
      </c>
      <c r="C8" s="22" t="n">
        <v>46362</v>
      </c>
      <c r="D8" s="21" t="inlineStr">
        <is>
          <t>阶段 2</t>
        </is>
      </c>
      <c r="E8" s="23" t="inlineStr">
        <is>
          <t>不用框架，手写 Agent Loop（150 行内）：dispatch 表注册工具、最大步数、超时、结构化输出解析</t>
        </is>
      </c>
      <c r="F8" s="23" t="inlineStr">
        <is>
          <t>mini-agent：3 个工具 + 完整消息轨迹打印</t>
        </is>
      </c>
      <c r="G8" s="21" t="n">
        <v>10</v>
      </c>
      <c r="H8" s="21" t="n"/>
      <c r="I8" s="21" t="inlineStr">
        <is>
          <t>未开始</t>
        </is>
      </c>
      <c r="J8" s="21" t="n"/>
      <c r="K8" s="23" t="n"/>
    </row>
    <row r="9" ht="46" customHeight="1">
      <c r="A9" s="24" t="n">
        <v>8</v>
      </c>
      <c r="B9" s="25" t="n">
        <v>46363</v>
      </c>
      <c r="C9" s="25" t="n">
        <v>46369</v>
      </c>
      <c r="D9" s="24" t="inlineStr">
        <is>
          <t>阶段 2</t>
        </is>
      </c>
      <c r="E9" s="26" t="inlineStr">
        <is>
          <t>Function Calling 深入、工具 schema 与描述设计、错误重试与降级策略</t>
        </is>
      </c>
      <c r="F9" s="26" t="inlineStr">
        <is>
          <t>工具失败率对比实验：无重试 / 指数退避 / 降级兜底</t>
        </is>
      </c>
      <c r="G9" s="24" t="n">
        <v>10</v>
      </c>
      <c r="H9" s="24" t="n"/>
      <c r="I9" s="24" t="inlineStr">
        <is>
          <t>未开始</t>
        </is>
      </c>
      <c r="J9" s="24" t="n"/>
      <c r="K9" s="26" t="n"/>
    </row>
    <row r="10" ht="46" customHeight="1">
      <c r="A10" s="21" t="n">
        <v>9</v>
      </c>
      <c r="B10" s="22" t="n">
        <v>46370</v>
      </c>
      <c r="C10" s="22" t="n">
        <v>46376</v>
      </c>
      <c r="D10" s="21" t="inlineStr">
        <is>
          <t>阶段 2</t>
        </is>
      </c>
      <c r="E10" s="23" t="inlineStr">
        <is>
          <t>MCP：写一个自己的 MCP Server（本地文档检索），接入任意 MCP 客户端</t>
        </is>
      </c>
      <c r="F10" s="23" t="inlineStr">
        <is>
          <t>可被客户端调用的 Server + 契约测试</t>
        </is>
      </c>
      <c r="G10" s="21" t="n">
        <v>10</v>
      </c>
      <c r="H10" s="21" t="n"/>
      <c r="I10" s="21" t="inlineStr">
        <is>
          <t>未开始</t>
        </is>
      </c>
      <c r="J10" s="21" t="n"/>
      <c r="K10" s="23" t="n"/>
    </row>
    <row r="11" ht="46" customHeight="1">
      <c r="A11" s="24" t="n">
        <v>10</v>
      </c>
      <c r="B11" s="25" t="n">
        <v>46377</v>
      </c>
      <c r="C11" s="25" t="n">
        <v>46383</v>
      </c>
      <c r="D11" s="24" t="inlineStr">
        <is>
          <t>阶段 2</t>
        </is>
      </c>
      <c r="E11" s="26" t="inlineStr">
        <is>
          <t>Memory（短期 / 会话 / 长期）+ Context Engineering：分层上下文、压缩触发、检索注入</t>
        </is>
      </c>
      <c r="F11" s="26" t="inlineStr">
        <is>
          <t>跨会话记住用户偏好的助手 + 压缩前后 token 对比</t>
        </is>
      </c>
      <c r="G11" s="24" t="n">
        <v>10</v>
      </c>
      <c r="H11" s="24" t="n"/>
      <c r="I11" s="24" t="inlineStr">
        <is>
          <t>未开始</t>
        </is>
      </c>
      <c r="J11" s="24" t="n"/>
      <c r="K11" s="26" t="n"/>
    </row>
    <row r="12" ht="46" customHeight="1">
      <c r="A12" s="21" t="n">
        <v>11</v>
      </c>
      <c r="B12" s="22" t="n">
        <v>46384</v>
      </c>
      <c r="C12" s="22" t="n">
        <v>46390</v>
      </c>
      <c r="D12" s="21" t="inlineStr">
        <is>
          <t>阶段 2</t>
        </is>
      </c>
      <c r="E12" s="23" t="inlineStr">
        <is>
          <t>LangGraph 状态机：中断、人工确认、恢复；拆解一个真实 Harness 源码（Claude Code / OpenHands）</t>
        </is>
      </c>
      <c r="F12" s="23" t="inlineStr">
        <is>
          <t>research-agent（RAG + 搜索 + 引用）+ 一页 Harness 拆解笔记【M2】</t>
        </is>
      </c>
      <c r="G12" s="21" t="n">
        <v>10</v>
      </c>
      <c r="H12" s="21" t="n"/>
      <c r="I12" s="21" t="inlineStr">
        <is>
          <t>未开始</t>
        </is>
      </c>
      <c r="J12" s="21" t="n"/>
      <c r="K12" s="23" t="n"/>
    </row>
    <row r="13" ht="46" customHeight="1">
      <c r="A13" s="24" t="n">
        <v>12</v>
      </c>
      <c r="B13" s="25" t="n">
        <v>46391</v>
      </c>
      <c r="C13" s="25" t="n">
        <v>46397</v>
      </c>
      <c r="D13" s="24" t="inlineStr">
        <is>
          <t>阶段 3</t>
        </is>
      </c>
      <c r="E13" s="26" t="inlineStr">
        <is>
          <t>性能剖析（py-spy / cProfile）、Redis 缓存（LLM 响应 + Embedding）、异步化改造</t>
        </is>
      </c>
      <c r="F13" s="26" t="inlineStr">
        <is>
          <t>优化前后 QPS / P99 对比表（目标 QPS ×3）</t>
        </is>
      </c>
      <c r="G13" s="24" t="n">
        <v>10</v>
      </c>
      <c r="H13" s="24" t="n"/>
      <c r="I13" s="24" t="inlineStr">
        <is>
          <t>未开始</t>
        </is>
      </c>
      <c r="J13" s="24" t="n"/>
      <c r="K13" s="26" t="n"/>
    </row>
    <row r="14" ht="46" customHeight="1">
      <c r="A14" s="21" t="n">
        <v>13</v>
      </c>
      <c r="B14" s="22" t="n">
        <v>46398</v>
      </c>
      <c r="C14" s="22" t="n">
        <v>46404</v>
      </c>
      <c r="D14" s="21" t="inlineStr">
        <is>
          <t>阶段 3</t>
        </is>
      </c>
      <c r="E14" s="23" t="inlineStr">
        <is>
          <t>批处理、模型路由（贵/便宜分级）、Token 成本核算、vLLM 部署开源小模型</t>
        </is>
      </c>
      <c r="F14" s="23" t="inlineStr">
        <is>
          <t>成本报表：单请求成本从 X 降到 Y</t>
        </is>
      </c>
      <c r="G14" s="21" t="n">
        <v>10</v>
      </c>
      <c r="H14" s="21" t="n"/>
      <c r="I14" s="21" t="inlineStr">
        <is>
          <t>未开始</t>
        </is>
      </c>
      <c r="J14" s="21" t="n"/>
      <c r="K14" s="23" t="n"/>
    </row>
    <row r="15" ht="46" customHeight="1">
      <c r="A15" s="24" t="n">
        <v>14</v>
      </c>
      <c r="B15" s="25" t="n">
        <v>46405</v>
      </c>
      <c r="C15" s="25" t="n">
        <v>46411</v>
      </c>
      <c r="D15" s="24" t="inlineStr">
        <is>
          <t>阶段 3</t>
        </is>
      </c>
      <c r="E15" s="26" t="inlineStr">
        <is>
          <t>可观测：Langfuse/LangSmith trace、OpenTelemetry、Prometheus 自定义指标</t>
        </is>
      </c>
      <c r="F15" s="26" t="inlineStr">
        <is>
          <t>Grafana 大盘 + 3 个自定义指标（token / 缓存命中 / 工具失败率）</t>
        </is>
      </c>
      <c r="G15" s="24" t="n">
        <v>10</v>
      </c>
      <c r="H15" s="24" t="n"/>
      <c r="I15" s="24" t="inlineStr">
        <is>
          <t>未开始</t>
        </is>
      </c>
      <c r="J15" s="24" t="n"/>
      <c r="K15" s="26" t="n"/>
    </row>
    <row r="16" ht="46" customHeight="1">
      <c r="A16" s="21" t="n">
        <v>15</v>
      </c>
      <c r="B16" s="22" t="n">
        <v>46412</v>
      </c>
      <c r="C16" s="22" t="n">
        <v>46418</v>
      </c>
      <c r="D16" s="21" t="inlineStr">
        <is>
          <t>阶段 3</t>
        </is>
      </c>
      <c r="E16" s="23" t="inlineStr">
        <is>
          <t>Docker Compose 全栈编排、GitHub Actions（pytest + eval）、故障注入演练</t>
        </is>
      </c>
      <c r="F16" s="23" t="inlineStr">
        <is>
          <t>一键起全栈 + 故障演练报告（杀 Milvus / 限流 / 超时）【M3】</t>
        </is>
      </c>
      <c r="G16" s="21" t="n">
        <v>10</v>
      </c>
      <c r="H16" s="21" t="n"/>
      <c r="I16" s="21" t="inlineStr">
        <is>
          <t>未开始</t>
        </is>
      </c>
      <c r="J16" s="21" t="n"/>
      <c r="K16" s="23" t="n"/>
    </row>
    <row r="17" ht="46" customHeight="1">
      <c r="A17" s="24" t="n">
        <v>16</v>
      </c>
      <c r="B17" s="25" t="n">
        <v>46419</v>
      </c>
      <c r="C17" s="25" t="n">
        <v>46425</v>
      </c>
      <c r="D17" s="24" t="inlineStr">
        <is>
          <t>弹性周</t>
        </is>
      </c>
      <c r="E17" s="26" t="inlineStr">
        <is>
          <t>春节弹性周：不排新内容。补欠账、复习前半程、回看两个仓库的 README</t>
        </is>
      </c>
      <c r="F17" s="26" t="inlineStr">
        <is>
          <t>复盘笔记：前半程最大的 3 个坑 + 后半程调整项</t>
        </is>
      </c>
      <c r="G17" s="24" t="n">
        <v>10</v>
      </c>
      <c r="H17" s="24" t="n"/>
      <c r="I17" s="24" t="inlineStr">
        <is>
          <t>未开始</t>
        </is>
      </c>
      <c r="J17" s="24" t="n"/>
      <c r="K17" s="26" t="n"/>
    </row>
    <row r="18" ht="46" customHeight="1">
      <c r="A18" s="21" t="n">
        <v>17</v>
      </c>
      <c r="B18" s="22" t="n">
        <v>46426</v>
      </c>
      <c r="C18" s="22" t="n">
        <v>46432</v>
      </c>
      <c r="D18" s="21" t="inlineStr">
        <is>
          <t>阶段 4</t>
        </is>
      </c>
      <c r="E18" s="23" t="inlineStr">
        <is>
          <t>三层评测（组件 / 轨迹 / 端到端）、任务集构造、rubric 设计、LLM-as-judge 偏差与校准</t>
        </is>
      </c>
      <c r="F18" s="23" t="inlineStr">
        <is>
          <t>50 条评测集（含难度分层、期望结果、判定方式）</t>
        </is>
      </c>
      <c r="G18" s="21" t="n">
        <v>10</v>
      </c>
      <c r="H18" s="21" t="n"/>
      <c r="I18" s="21" t="inlineStr">
        <is>
          <t>未开始</t>
        </is>
      </c>
      <c r="J18" s="21" t="n"/>
      <c r="K18" s="23" t="n"/>
    </row>
    <row r="19" ht="46" customHeight="1">
      <c r="A19" s="24" t="n">
        <v>18</v>
      </c>
      <c r="B19" s="25" t="n">
        <v>46433</v>
      </c>
      <c r="C19" s="25" t="n">
        <v>46439</v>
      </c>
      <c r="D19" s="24" t="inlineStr">
        <is>
          <t>阶段 4</t>
        </is>
      </c>
      <c r="E19" s="26" t="inlineStr">
        <is>
          <t>Eval Harness：并发跑批、结果落库、失败自动分类、重复 3 次测方差、CI 集成</t>
        </is>
      </c>
      <c r="F19" s="26" t="inlineStr">
        <is>
          <t>一条命令输出：通过率 / 步数 / 成本 / 延迟 / 失败分布【M4】</t>
        </is>
      </c>
      <c r="G19" s="24" t="n">
        <v>10</v>
      </c>
      <c r="H19" s="24" t="n"/>
      <c r="I19" s="24" t="inlineStr">
        <is>
          <t>未开始</t>
        </is>
      </c>
      <c r="J19" s="24" t="n"/>
      <c r="K19" s="26" t="n"/>
    </row>
    <row r="20" ht="46" customHeight="1">
      <c r="A20" s="21" t="n">
        <v>19</v>
      </c>
      <c r="B20" s="22" t="n">
        <v>46440</v>
      </c>
      <c r="C20" s="22" t="n">
        <v>46446</v>
      </c>
      <c r="D20" s="21" t="inlineStr">
        <is>
          <t>阶段 5</t>
        </is>
      </c>
      <c r="E20" s="23" t="inlineStr">
        <is>
          <t>Multi-Agent 判断标准、Supervisor / Graph 编排、上下文隔离、循环与漂移治理</t>
        </is>
      </c>
      <c r="F20" s="23" t="inlineStr">
        <is>
          <t>planner → executor → reviewer 小系统 + 一页决策笔记</t>
        </is>
      </c>
      <c r="G20" s="21" t="n">
        <v>10</v>
      </c>
      <c r="H20" s="21" t="n"/>
      <c r="I20" s="21" t="inlineStr">
        <is>
          <t>未开始</t>
        </is>
      </c>
      <c r="J20" s="21" t="n"/>
      <c r="K20" s="23" t="n"/>
    </row>
    <row r="21" ht="46" customHeight="1">
      <c r="A21" s="24" t="n">
        <v>20</v>
      </c>
      <c r="B21" s="25" t="n">
        <v>46447</v>
      </c>
      <c r="C21" s="25" t="n">
        <v>46453</v>
      </c>
      <c r="D21" s="24" t="inlineStr">
        <is>
          <t>阶段 5</t>
        </is>
      </c>
      <c r="E21" s="26" t="inlineStr">
        <is>
          <t>项目 1 开工：需求、架构、数据源、工具集；先写 20 条验收用例再写代码</t>
        </is>
      </c>
      <c r="F21" s="26" t="inlineStr">
        <is>
          <t>架构图 + 接口定义 + 20 条验收用例</t>
        </is>
      </c>
      <c r="G21" s="24" t="n">
        <v>10</v>
      </c>
      <c r="H21" s="24" t="n"/>
      <c r="I21" s="24" t="inlineStr">
        <is>
          <t>未开始</t>
        </is>
      </c>
      <c r="J21" s="24" t="n"/>
      <c r="K21" s="26" t="n"/>
    </row>
    <row r="22" ht="46" customHeight="1">
      <c r="A22" s="21" t="n">
        <v>21</v>
      </c>
      <c r="B22" s="22" t="n">
        <v>46454</v>
      </c>
      <c r="C22" s="22" t="n">
        <v>46460</v>
      </c>
      <c r="D22" s="21" t="inlineStr">
        <is>
          <t>阶段 5</t>
        </is>
      </c>
      <c r="E22" s="23" t="inlineStr">
        <is>
          <t>项目 1 收尾：评测、监控、部署、README（写清取舍与限制）</t>
        </is>
      </c>
      <c r="F22" s="23" t="inlineStr">
        <is>
          <t>可运行 + 可评测 + 可部署</t>
        </is>
      </c>
      <c r="G22" s="21" t="n">
        <v>10</v>
      </c>
      <c r="H22" s="21" t="n"/>
      <c r="I22" s="21" t="inlineStr">
        <is>
          <t>未开始</t>
        </is>
      </c>
      <c r="J22" s="21" t="n"/>
      <c r="K22" s="23" t="n"/>
    </row>
    <row r="23" ht="46" customHeight="1">
      <c r="A23" s="24" t="n">
        <v>22</v>
      </c>
      <c r="B23" s="25" t="n">
        <v>46461</v>
      </c>
      <c r="C23" s="25" t="n">
        <v>46467</v>
      </c>
      <c r="D23" s="24" t="inlineStr">
        <is>
          <t>阶段 5</t>
        </is>
      </c>
      <c r="E23" s="26" t="inlineStr">
        <is>
          <t>项目 2 攻坚：把 Eval Harness 产品化（Web 界面 + 轨迹回放 + 版本对比）</t>
        </is>
      </c>
      <c r="F23" s="26" t="inlineStr">
        <is>
          <t>能上传 case、跑批、看 diff 的界面【M5】</t>
        </is>
      </c>
      <c r="G23" s="24" t="n">
        <v>10</v>
      </c>
      <c r="H23" s="24" t="n"/>
      <c r="I23" s="24" t="inlineStr">
        <is>
          <t>未开始</t>
        </is>
      </c>
      <c r="J23" s="24" t="n"/>
      <c r="K23" s="26" t="n"/>
    </row>
    <row r="24" ht="46" customHeight="1">
      <c r="A24" s="21" t="n">
        <v>23</v>
      </c>
      <c r="B24" s="22" t="n">
        <v>46468</v>
      </c>
      <c r="C24" s="22" t="n">
        <v>46474</v>
      </c>
      <c r="D24" s="21" t="inlineStr">
        <is>
          <t>阶段 6</t>
        </is>
      </c>
      <c r="E24" s="23" t="inlineStr">
        <is>
          <t>简历重写（三维模板）、项目陈述练两版（3 分钟 / 10 分钟）、系统设计 8 题</t>
        </is>
      </c>
      <c r="F24" s="23" t="inlineStr">
        <is>
          <t>简历 v3 + 项目讲解稿</t>
        </is>
      </c>
      <c r="G24" s="21" t="n">
        <v>10</v>
      </c>
      <c r="H24" s="21" t="n"/>
      <c r="I24" s="21" t="inlineStr">
        <is>
          <t>未开始</t>
        </is>
      </c>
      <c r="J24" s="21" t="n"/>
      <c r="K24" s="23" t="n"/>
    </row>
    <row r="25" ht="46" customHeight="1">
      <c r="A25" s="24" t="n">
        <v>24</v>
      </c>
      <c r="B25" s="25" t="n">
        <v>46475</v>
      </c>
      <c r="C25" s="25" t="n">
        <v>46481</v>
      </c>
      <c r="D25" s="24" t="inlineStr">
        <is>
          <t>阶段 6</t>
        </is>
      </c>
      <c r="E25" s="26" t="inlineStr">
        <is>
          <t>模拟面试 2 场、高频题清单过一遍、开始投递 + 找内推</t>
        </is>
      </c>
      <c r="F25" s="26" t="inlineStr">
        <is>
          <t>投递记录表（岗位 / 进度 / 反馈）</t>
        </is>
      </c>
      <c r="G25" s="24" t="n">
        <v>10</v>
      </c>
      <c r="H25" s="24" t="n"/>
      <c r="I25" s="24" t="inlineStr">
        <is>
          <t>未开始</t>
        </is>
      </c>
      <c r="J25" s="24" t="n"/>
      <c r="K25" s="26" t="n"/>
    </row>
    <row r="26" ht="46" customHeight="1">
      <c r="A26" s="21" t="n">
        <v>25</v>
      </c>
      <c r="B26" s="22" t="n">
        <v>46482</v>
      </c>
      <c r="C26" s="22" t="n">
        <v>46488</v>
      </c>
      <c r="D26" s="21" t="inlineStr">
        <is>
          <t>阶段 B</t>
        </is>
      </c>
      <c r="E26" s="23" t="inlineStr">
        <is>
          <t>具身全景：感知-决策-控制闭环、VLA 是什么、与 LLM Agent 的关系；PyTorch 补课</t>
        </is>
      </c>
      <c r="F26" s="23" t="inlineStr">
        <is>
          <t>一页 VLA 类比笔记 + 手写 MLP 训练脚本</t>
        </is>
      </c>
      <c r="G26" s="21" t="n">
        <v>10</v>
      </c>
      <c r="H26" s="21" t="n"/>
      <c r="I26" s="21" t="inlineStr">
        <is>
          <t>未开始</t>
        </is>
      </c>
      <c r="J26" s="21" t="n"/>
      <c r="K26" s="23" t="n"/>
    </row>
    <row r="27" ht="46" customHeight="1">
      <c r="A27" s="24" t="n">
        <v>26</v>
      </c>
      <c r="B27" s="25" t="n">
        <v>46489</v>
      </c>
      <c r="C27" s="25" t="n">
        <v>46495</v>
      </c>
      <c r="D27" s="24" t="inlineStr">
        <is>
          <t>阶段 B</t>
        </is>
      </c>
      <c r="E27" s="26" t="inlineStr">
        <is>
          <t>机器人学最小集：坐标系与变换、正逆运动学、关节/任务空间、URDF；ROS 2 基础</t>
        </is>
      </c>
      <c r="F27" s="26" t="inlineStr">
        <is>
          <t>2 连杆逆解 + 一个 ros2 最小节点跑通</t>
        </is>
      </c>
      <c r="G27" s="24" t="n">
        <v>10</v>
      </c>
      <c r="H27" s="24" t="n"/>
      <c r="I27" s="24" t="inlineStr">
        <is>
          <t>未开始</t>
        </is>
      </c>
      <c r="J27" s="24" t="n"/>
      <c r="K27" s="26" t="n"/>
    </row>
    <row r="28" ht="46" customHeight="1">
      <c r="A28" s="21" t="n">
        <v>27</v>
      </c>
      <c r="B28" s="22" t="n">
        <v>46496</v>
      </c>
      <c r="C28" s="22" t="n">
        <v>46502</v>
      </c>
      <c r="D28" s="21" t="inlineStr">
        <is>
          <t>阶段 B</t>
        </is>
      </c>
      <c r="E28" s="23" t="inlineStr">
        <is>
          <t>仿真入门：MuJoCo、Gymnasium 接口、奖励设计</t>
        </is>
      </c>
      <c r="F28" s="23" t="inlineStr">
        <is>
          <t>机械臂 reach 任务：随机策略 vs 训练策略曲线</t>
        </is>
      </c>
      <c r="G28" s="21" t="n">
        <v>10</v>
      </c>
      <c r="H28" s="21" t="n"/>
      <c r="I28" s="21" t="inlineStr">
        <is>
          <t>未开始</t>
        </is>
      </c>
      <c r="J28" s="21" t="n"/>
      <c r="K28" s="23" t="n"/>
    </row>
    <row r="29" ht="46" customHeight="1">
      <c r="A29" s="24" t="n">
        <v>28</v>
      </c>
      <c r="B29" s="25" t="n">
        <v>46503</v>
      </c>
      <c r="C29" s="25" t="n">
        <v>46509</v>
      </c>
      <c r="D29" s="24" t="inlineStr">
        <is>
          <t>阶段 B</t>
        </is>
      </c>
      <c r="E29" s="26" t="inlineStr">
        <is>
          <t>强化学习最小集：PPO 原理与调参、stable-baselines3、域随机化概念</t>
        </is>
      </c>
      <c r="F29" s="26" t="inlineStr">
        <is>
          <t>reach 成功率 0 → 80%+，附训练曲线</t>
        </is>
      </c>
      <c r="G29" s="24" t="n">
        <v>10</v>
      </c>
      <c r="H29" s="24" t="n"/>
      <c r="I29" s="24" t="inlineStr">
        <is>
          <t>未开始</t>
        </is>
      </c>
      <c r="J29" s="24" t="n"/>
      <c r="K29" s="26" t="n"/>
    </row>
    <row r="30" ht="46" customHeight="1">
      <c r="A30" s="21" t="n">
        <v>29</v>
      </c>
      <c r="B30" s="22" t="n">
        <v>46510</v>
      </c>
      <c r="C30" s="22" t="n">
        <v>46516</v>
      </c>
      <c r="D30" s="21" t="inlineStr">
        <is>
          <t>阶段 B</t>
        </is>
      </c>
      <c r="E30" s="23" t="inlineStr">
        <is>
          <t>模仿学习：行为克隆、ACT、Diffusion Policy；LeRobot 数据集格式与训练流程</t>
        </is>
      </c>
      <c r="F30" s="23" t="inlineStr">
        <is>
          <t>训一个抓取 policy + 回放视频</t>
        </is>
      </c>
      <c r="G30" s="21" t="n">
        <v>10</v>
      </c>
      <c r="H30" s="21" t="n"/>
      <c r="I30" s="21" t="inlineStr">
        <is>
          <t>未开始</t>
        </is>
      </c>
      <c r="J30" s="21" t="n"/>
      <c r="K30" s="23" t="n"/>
    </row>
    <row r="31" ht="46" customHeight="1">
      <c r="A31" s="24" t="n">
        <v>30</v>
      </c>
      <c r="B31" s="25" t="n">
        <v>46517</v>
      </c>
      <c r="C31" s="25" t="n">
        <v>46523</v>
      </c>
      <c r="D31" s="24" t="inlineStr">
        <is>
          <t>阶段 B</t>
        </is>
      </c>
      <c r="E31" s="26" t="inlineStr">
        <is>
          <t>SO-101 + LeRobot 遥操作（无硬件用仿真替代）：标定、示教、数据采集</t>
        </is>
      </c>
      <c r="F31" s="26" t="inlineStr">
        <is>
          <t>50 条示教数据 + 训练 + 实机/仿真回放</t>
        </is>
      </c>
      <c r="G31" s="24" t="n">
        <v>10</v>
      </c>
      <c r="H31" s="24" t="n"/>
      <c r="I31" s="24" t="inlineStr">
        <is>
          <t>未开始</t>
        </is>
      </c>
      <c r="J31" s="24" t="n"/>
      <c r="K31" s="26" t="n"/>
    </row>
    <row r="32" ht="46" customHeight="1">
      <c r="A32" s="21" t="n">
        <v>31</v>
      </c>
      <c r="B32" s="22" t="n">
        <v>46524</v>
      </c>
      <c r="C32" s="22" t="n">
        <v>46530</v>
      </c>
      <c r="D32" s="21" t="inlineStr">
        <is>
          <t>阶段 B</t>
        </is>
      </c>
      <c r="E32" s="23" t="inlineStr">
        <is>
          <t>VLA 论文精读 1：RT-2 / OpenVLA（VLM backbone + action token 化）</t>
        </is>
      </c>
      <c r="F32" s="23" t="inlineStr">
        <is>
          <t>论文笔记：输入输出、动作表示、训练数据、评测方式</t>
        </is>
      </c>
      <c r="G32" s="21" t="n">
        <v>10</v>
      </c>
      <c r="H32" s="21" t="n"/>
      <c r="I32" s="21" t="inlineStr">
        <is>
          <t>未开始</t>
        </is>
      </c>
      <c r="J32" s="21" t="n"/>
      <c r="K32" s="23" t="n"/>
    </row>
    <row r="33" ht="46" customHeight="1">
      <c r="A33" s="24" t="n">
        <v>32</v>
      </c>
      <c r="B33" s="25" t="n">
        <v>46531</v>
      </c>
      <c r="C33" s="25" t="n">
        <v>46537</v>
      </c>
      <c r="D33" s="24" t="inlineStr">
        <is>
          <t>阶段 B</t>
        </is>
      </c>
      <c r="E33" s="26" t="inlineStr">
        <is>
          <t>VLA 论文精读 2：π0 / GR00T（flow matching、action expert、跨本体）</t>
        </is>
      </c>
      <c r="F33" s="26" t="inlineStr">
        <is>
          <t>两代架构对比表：动作表示 / 推理频率 / 数据规模</t>
        </is>
      </c>
      <c r="G33" s="24" t="n">
        <v>10</v>
      </c>
      <c r="H33" s="24" t="n"/>
      <c r="I33" s="24" t="inlineStr">
        <is>
          <t>未开始</t>
        </is>
      </c>
      <c r="J33" s="24" t="n"/>
      <c r="K33" s="26" t="n"/>
    </row>
    <row r="34" ht="46" customHeight="1">
      <c r="A34" s="21" t="n">
        <v>33</v>
      </c>
      <c r="B34" s="22" t="n">
        <v>46538</v>
      </c>
      <c r="C34" s="22" t="n">
        <v>46544</v>
      </c>
      <c r="D34" s="21" t="inlineStr">
        <is>
          <t>阶段 B</t>
        </is>
      </c>
      <c r="E34" s="23" t="inlineStr">
        <is>
          <t>复现：LIBERO 基准上跑 OpenVLA 或 π0 的 zero-shot 评测</t>
        </is>
      </c>
      <c r="F34" s="23" t="inlineStr">
        <is>
          <t>复现报告：成功率 / 延迟 / 显存 / 与论文数字的差异</t>
        </is>
      </c>
      <c r="G34" s="21" t="n">
        <v>10</v>
      </c>
      <c r="H34" s="21" t="n"/>
      <c r="I34" s="21" t="inlineStr">
        <is>
          <t>未开始</t>
        </is>
      </c>
      <c r="J34" s="21" t="n"/>
      <c r="K34" s="23" t="n"/>
    </row>
    <row r="35" ht="46" customHeight="1">
      <c r="A35" s="24" t="n">
        <v>34</v>
      </c>
      <c r="B35" s="25" t="n">
        <v>46545</v>
      </c>
      <c r="C35" s="25" t="n">
        <v>46551</v>
      </c>
      <c r="D35" s="24" t="inlineStr">
        <is>
          <t>阶段 B</t>
        </is>
      </c>
      <c r="E35" s="26" t="inlineStr">
        <is>
          <t>微调：LoRA 微调 VLA 到自定义任务（仿真数据即可）+ 数据量消融</t>
        </is>
      </c>
      <c r="F35" s="26" t="inlineStr">
        <is>
          <t>微调前后成功率对比 + 10/50/200 条消融</t>
        </is>
      </c>
      <c r="G35" s="24" t="n">
        <v>10</v>
      </c>
      <c r="H35" s="24" t="n"/>
      <c r="I35" s="24" t="inlineStr">
        <is>
          <t>未开始</t>
        </is>
      </c>
      <c r="J35" s="24" t="n"/>
      <c r="K35" s="26" t="n"/>
    </row>
    <row r="36" ht="46" customHeight="1">
      <c r="A36" s="21" t="n">
        <v>35</v>
      </c>
      <c r="B36" s="22" t="n">
        <v>46552</v>
      </c>
      <c r="C36" s="22" t="n">
        <v>46558</v>
      </c>
      <c r="D36" s="21" t="inlineStr">
        <is>
          <t>阶段 B</t>
        </is>
      </c>
      <c r="E36" s="23" t="inlineStr">
        <is>
          <t>Isaac Sim / Isaac Lab 入门：USD 资产、场景搭建、GPU 并行环境</t>
        </is>
      </c>
      <c r="F36" s="23" t="inlineStr">
        <is>
          <t>Isaac Lab 里搭一个抓取场景并跑通训练</t>
        </is>
      </c>
      <c r="G36" s="21" t="n">
        <v>10</v>
      </c>
      <c r="H36" s="21" t="n"/>
      <c r="I36" s="21" t="inlineStr">
        <is>
          <t>未开始</t>
        </is>
      </c>
      <c r="J36" s="21" t="n"/>
      <c r="K36" s="23" t="n"/>
    </row>
    <row r="37" ht="46" customHeight="1">
      <c r="A37" s="24" t="n">
        <v>36</v>
      </c>
      <c r="B37" s="25" t="n">
        <v>46559</v>
      </c>
      <c r="C37" s="25" t="n">
        <v>46565</v>
      </c>
      <c r="D37" s="24" t="inlineStr">
        <is>
          <t>阶段 B</t>
        </is>
      </c>
      <c r="E37" s="26" t="inlineStr">
        <is>
          <t>Sim2Real：域随机化、相机标定、延迟与噪声建模、真机部署（SO-101）</t>
        </is>
      </c>
      <c r="F37" s="26" t="inlineStr">
        <is>
          <t>仿真训练 → 真机 demo + 失败案例记录</t>
        </is>
      </c>
      <c r="G37" s="24" t="n">
        <v>10</v>
      </c>
      <c r="H37" s="24" t="n"/>
      <c r="I37" s="24" t="inlineStr">
        <is>
          <t>未开始</t>
        </is>
      </c>
      <c r="J37" s="24" t="n"/>
      <c r="K37" s="26" t="n"/>
    </row>
    <row r="38" ht="46" customHeight="1">
      <c r="A38" s="21" t="n">
        <v>37</v>
      </c>
      <c r="B38" s="22" t="n">
        <v>46566</v>
      </c>
      <c r="C38" s="22" t="n">
        <v>46572</v>
      </c>
      <c r="D38" s="21" t="inlineStr">
        <is>
          <t>阶段 B</t>
        </is>
      </c>
      <c r="E38" s="23" t="inlineStr">
        <is>
          <t>具身评测：LIBERO/CALVIN 基准、成功判定标准、数据质量、可复现性</t>
        </is>
      </c>
      <c r="F38" s="23" t="inlineStr">
        <is>
          <t>评测报告：同一 policy 在 3 种条件下成功率差异与归因</t>
        </is>
      </c>
      <c r="G38" s="21" t="n">
        <v>10</v>
      </c>
      <c r="H38" s="21" t="n"/>
      <c r="I38" s="21" t="inlineStr">
        <is>
          <t>未开始</t>
        </is>
      </c>
      <c r="J38" s="21" t="n"/>
      <c r="K38" s="23" t="n"/>
    </row>
    <row r="39" ht="46" customHeight="1">
      <c r="A39" s="24" t="n">
        <v>38</v>
      </c>
      <c r="B39" s="25" t="n">
        <v>46573</v>
      </c>
      <c r="C39" s="25" t="n">
        <v>46579</v>
      </c>
      <c r="D39" s="24" t="inlineStr">
        <is>
          <t>阶段 B</t>
        </is>
      </c>
      <c r="E39" s="26" t="inlineStr">
        <is>
          <t>收尾：技术报告、3 分钟演示视频、作品集整合、简历更新</t>
        </is>
      </c>
      <c r="F39" s="26" t="inlineStr">
        <is>
          <t>demo 视频 + 技术报告 + 更新版简历【M6】</t>
        </is>
      </c>
      <c r="G39" s="24" t="n">
        <v>10</v>
      </c>
      <c r="H39" s="24" t="n"/>
      <c r="I39" s="24" t="inlineStr">
        <is>
          <t>未开始</t>
        </is>
      </c>
      <c r="J39" s="24" t="n"/>
      <c r="K39" s="26" t="n"/>
    </row>
  </sheetData>
  <autoFilter ref="A1:K39"/>
  <conditionalFormatting sqref="I2:I39">
    <cfRule type="cellIs" priority="1" operator="equal" dxfId="0">
      <formula>"已完成"</formula>
    </cfRule>
    <cfRule type="cellIs" priority="2" operator="equal" dxfId="1">
      <formula>"进行中"</formula>
    </cfRule>
    <cfRule type="cellIs" priority="3" operator="equal" dxfId="2">
      <formula>"延期"</formula>
    </cfRule>
  </conditionalFormatting>
  <dataValidations count="2">
    <dataValidation sqref="I2:I39" showDropDown="0" showInputMessage="0" showErrorMessage="0" allowBlank="0" errorTitle="状态不合法" error="状态只能是：未开始 / 进行中 / 已完成 / 延期" type="list">
      <formula1>"未开始,进行中,已完成,延期"</formula1>
    </dataValidation>
    <dataValidation sqref="J2:J39" showDropDown="0" showInputMessage="0" showErrorMessage="0" allowBlank="1" errorTitle="超出范围" error="自评填 1-5 的整数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7.5" customWidth="1" min="3" max="3"/>
    <col width="40" customWidth="1" min="4" max="4"/>
    <col width="32" customWidth="1" min="5" max="5"/>
    <col width="32" customWidth="1" min="6" max="6"/>
    <col width="40" customWidth="1" min="7" max="7"/>
  </cols>
  <sheetData>
    <row r="1" ht="32" customHeight="1">
      <c r="A1" s="27" t="inlineStr">
        <is>
          <t>逐周学习材料（点链接直接打开；材料名在 B 列，链接在 E 列）</t>
        </is>
      </c>
    </row>
    <row r="3" ht="26" customHeight="1">
      <c r="A3" s="37" t="inlineStr">
        <is>
          <t>周次</t>
        </is>
      </c>
      <c r="B3" s="37" t="inlineStr">
        <is>
          <t>日期</t>
        </is>
      </c>
      <c r="C3" s="37" t="inlineStr">
        <is>
          <t>日</t>
        </is>
      </c>
      <c r="D3" s="37" t="inlineStr">
        <is>
          <t>学什么</t>
        </is>
      </c>
      <c r="E3" s="37" t="inlineStr">
        <is>
          <t>材料</t>
        </is>
      </c>
      <c r="F3" s="37" t="inlineStr">
        <is>
          <t>备用材料</t>
        </is>
      </c>
      <c r="G3" s="37" t="inlineStr">
        <is>
          <t>1 行产出</t>
        </is>
      </c>
    </row>
    <row r="4" ht="30" customHeight="1">
      <c r="A4" s="61" t="n">
        <v>1</v>
      </c>
      <c r="B4" s="39" t="inlineStr">
        <is>
          <t>10/19–10/25</t>
        </is>
      </c>
      <c r="C4" s="61" t="inlineStr">
        <is>
          <t>周一</t>
        </is>
      </c>
      <c r="D4" s="39" t="inlineStr">
        <is>
          <t>uv 与 pyproject：现代 Python 项目结构</t>
        </is>
      </c>
      <c r="E4" s="40" t="inlineStr">
        <is>
          <t>uv 文档</t>
        </is>
      </c>
      <c r="F4" s="41" t="inlineStr">
        <is>
          <t>—</t>
        </is>
      </c>
      <c r="G4" s="39" t="inlineStr">
        <is>
          <t>`uv run python -V` 能跑，依赖写进 pyproject</t>
        </is>
      </c>
    </row>
    <row r="5" ht="30" customHeight="1">
      <c r="A5" s="61" t="n">
        <v>1</v>
      </c>
      <c r="B5" s="39" t="inlineStr">
        <is>
          <t>10/19–10/25</t>
        </is>
      </c>
      <c r="C5" s="61" t="inlineStr">
        <is>
          <t>周二</t>
        </is>
      </c>
      <c r="D5" s="39" t="inlineStr">
        <is>
          <t>类型注解与 Pydantic v2 模型校验</t>
        </is>
      </c>
      <c r="E5" s="40" t="inlineStr">
        <is>
          <t>Pydantic 文档</t>
        </is>
      </c>
      <c r="F5" s="41" t="inlineStr">
        <is>
          <t>—</t>
        </is>
      </c>
      <c r="G5" s="39" t="inlineStr">
        <is>
          <t>给 Message / Request 定义模型，非法输入能报错</t>
        </is>
      </c>
    </row>
    <row r="6" ht="30" customHeight="1">
      <c r="A6" s="61" t="n">
        <v>1</v>
      </c>
      <c r="B6" s="39" t="inlineStr">
        <is>
          <t>10/19–10/25</t>
        </is>
      </c>
      <c r="C6" s="61" t="inlineStr">
        <is>
          <t>周三</t>
        </is>
      </c>
      <c r="D6" s="39" t="inlineStr">
        <is>
          <t>httpx 同步与异步请求、超时配置</t>
        </is>
      </c>
      <c r="E6" s="40" t="inlineStr">
        <is>
          <t>httpx 文档</t>
        </is>
      </c>
      <c r="F6" s="41" t="inlineStr">
        <is>
          <t>—</t>
        </is>
      </c>
      <c r="G6" s="39" t="inlineStr">
        <is>
          <t>异步发一次请求并打印耗时</t>
        </is>
      </c>
    </row>
    <row r="7" ht="30" customHeight="1">
      <c r="A7" s="61" t="n">
        <v>1</v>
      </c>
      <c r="B7" s="39" t="inlineStr">
        <is>
          <t>10/19–10/25</t>
        </is>
      </c>
      <c r="C7" s="61" t="inlineStr">
        <is>
          <t>周四</t>
        </is>
      </c>
      <c r="D7" s="39" t="inlineStr">
        <is>
          <t>调通 LLM API，理解 messages 与计费</t>
        </is>
      </c>
      <c r="E7" s="40" t="inlineStr">
        <is>
          <t>DeepSeek API 文档</t>
        </is>
      </c>
      <c r="F7" s="41" t="inlineStr">
        <is>
          <t>—</t>
        </is>
      </c>
      <c r="G7" s="39" t="inlineStr">
        <is>
          <t>拿到 key，跑通一次非流式调用并读到 usage</t>
        </is>
      </c>
    </row>
    <row r="8" ht="30" customHeight="1">
      <c r="A8" s="61" t="n">
        <v>1</v>
      </c>
      <c r="B8" s="39" t="inlineStr">
        <is>
          <t>10/19–10/25</t>
        </is>
      </c>
      <c r="C8" s="61" t="inlineStr">
        <is>
          <t>周五</t>
        </is>
      </c>
      <c r="D8" s="39" t="inlineStr">
        <is>
          <t>流式输出（SSE）与首 token 延迟</t>
        </is>
      </c>
      <c r="E8" s="40" t="inlineStr">
        <is>
          <t>httpx 流式读取</t>
        </is>
      </c>
      <c r="F8" s="41" t="inlineStr">
        <is>
          <t>—</t>
        </is>
      </c>
      <c r="G8" s="39" t="inlineStr">
        <is>
          <t>逐块打印，记录 first-token 时间</t>
        </is>
      </c>
    </row>
    <row r="9" ht="40" customHeight="1">
      <c r="A9" s="61" t="n">
        <v>1</v>
      </c>
      <c r="B9" s="39" t="inlineStr">
        <is>
          <t>10/19–10/25</t>
        </is>
      </c>
      <c r="C9" s="62" t="inlineStr">
        <is>
          <t>周末</t>
        </is>
      </c>
      <c r="D9" s="39" t="inlineStr">
        <is>
          <t>实战：把 5 天碎片拼成一个 CLI：`ask "问题" --stream --d…</t>
        </is>
      </c>
      <c r="E9" s="43" t="inlineStr">
        <is>
          <t>检索兜底：uv pyproject 入门；httpx 流式 SSE</t>
        </is>
      </c>
      <c r="F9" s="63" t="inlineStr"/>
      <c r="G9" s="63" t="inlineStr"/>
    </row>
    <row r="10" ht="30" customHeight="1">
      <c r="A10" s="61" t="n">
        <v>2</v>
      </c>
      <c r="B10" s="39" t="inlineStr">
        <is>
          <t>10/26–11/01</t>
        </is>
      </c>
      <c r="C10" s="61" t="inlineStr">
        <is>
          <t>周一</t>
        </is>
      </c>
      <c r="D10" s="39" t="inlineStr">
        <is>
          <t>FastAPI 第一个接口、自动文档</t>
        </is>
      </c>
      <c r="E10" s="40" t="inlineStr">
        <is>
          <t>FastAPI 教程</t>
        </is>
      </c>
      <c r="F10" s="41" t="inlineStr">
        <is>
          <t>—</t>
        </is>
      </c>
      <c r="G10" s="39" t="inlineStr">
        <is>
          <t>`/health` 与 `/chat` 两个路由可用</t>
        </is>
      </c>
    </row>
    <row r="11" ht="30" customHeight="1">
      <c r="A11" s="61" t="n">
        <v>2</v>
      </c>
      <c r="B11" s="39" t="inlineStr">
        <is>
          <t>10/26–11/01</t>
        </is>
      </c>
      <c r="C11" s="61" t="inlineStr">
        <is>
          <t>周二</t>
        </is>
      </c>
      <c r="D11" s="39" t="inlineStr">
        <is>
          <t>请求体/响应模型与错误处理</t>
        </is>
      </c>
      <c r="E11" s="40" t="inlineStr">
        <is>
          <t>FastAPI 请求体</t>
        </is>
      </c>
      <c r="F11" s="41" t="inlineStr">
        <is>
          <t>—</t>
        </is>
      </c>
      <c r="G11" s="39" t="inlineStr">
        <is>
          <t>参数校验失败返回 422 且信息可读</t>
        </is>
      </c>
    </row>
    <row r="12" ht="30" customHeight="1">
      <c r="A12" s="61" t="n">
        <v>2</v>
      </c>
      <c r="B12" s="39" t="inlineStr">
        <is>
          <t>10/26–11/01</t>
        </is>
      </c>
      <c r="C12" s="61" t="inlineStr">
        <is>
          <t>周三</t>
        </is>
      </c>
      <c r="D12" s="39" t="inlineStr">
        <is>
          <t>依赖注入：把 LLM 客户端做成可替换依赖</t>
        </is>
      </c>
      <c r="E12" s="40" t="inlineStr">
        <is>
          <t>依赖注入</t>
        </is>
      </c>
      <c r="F12" s="41" t="inlineStr">
        <is>
          <t>—</t>
        </is>
      </c>
      <c r="G12" s="39" t="inlineStr">
        <is>
          <t>测试时能注入假客户端</t>
        </is>
      </c>
    </row>
    <row r="13" ht="30" customHeight="1">
      <c r="A13" s="61" t="n">
        <v>2</v>
      </c>
      <c r="B13" s="39" t="inlineStr">
        <is>
          <t>10/26–11/01</t>
        </is>
      </c>
      <c r="C13" s="61" t="inlineStr">
        <is>
          <t>周四</t>
        </is>
      </c>
      <c r="D13" s="39" t="inlineStr">
        <is>
          <t>pytest：fixture、参数化、monkeypatch 打桩</t>
        </is>
      </c>
      <c r="E13" s="40" t="inlineStr">
        <is>
          <t>pytest 文档</t>
        </is>
      </c>
      <c r="F13" s="40" t="inlineStr">
        <is>
          <t>monkeypatch</t>
        </is>
      </c>
      <c r="G13" s="39" t="inlineStr">
        <is>
          <t>8 条用例，含 1 条超时与 1 条异常路径</t>
        </is>
      </c>
    </row>
    <row r="14" ht="30" customHeight="1">
      <c r="A14" s="61" t="n">
        <v>2</v>
      </c>
      <c r="B14" s="39" t="inlineStr">
        <is>
          <t>10/26–11/01</t>
        </is>
      </c>
      <c r="C14" s="61" t="inlineStr">
        <is>
          <t>周五</t>
        </is>
      </c>
      <c r="D14" s="39" t="inlineStr">
        <is>
          <t>TestClient 写接口测试</t>
        </is>
      </c>
      <c r="E14" s="40" t="inlineStr">
        <is>
          <t>FastAPI 测试</t>
        </is>
      </c>
      <c r="F14" s="41" t="inlineStr">
        <is>
          <t>—</t>
        </is>
      </c>
      <c r="G14" s="39" t="inlineStr">
        <is>
          <t>测试覆盖 200 / 422 / 500 三条路径</t>
        </is>
      </c>
    </row>
    <row r="15" ht="40" customHeight="1">
      <c r="A15" s="61" t="n">
        <v>2</v>
      </c>
      <c r="B15" s="39" t="inlineStr">
        <is>
          <t>10/26–11/01</t>
        </is>
      </c>
      <c r="C15" s="62" t="inlineStr">
        <is>
          <t>周末</t>
        </is>
      </c>
      <c r="D15" s="39" t="inlineStr">
        <is>
          <t>实战：写 Dockerfile，`docker build` + `docker …</t>
        </is>
      </c>
      <c r="E15" s="43" t="inlineStr">
        <is>
          <t>检索兜底：fastapi pytest TestClient；docker python 镜像 slim</t>
        </is>
      </c>
      <c r="F15" s="63" t="inlineStr"/>
      <c r="G15" s="63" t="inlineStr"/>
    </row>
    <row r="16" ht="30" customHeight="1">
      <c r="A16" s="61" t="n">
        <v>3</v>
      </c>
      <c r="B16" s="39" t="inlineStr">
        <is>
          <t>11/02–11/08</t>
        </is>
      </c>
      <c r="C16" s="61" t="inlineStr">
        <is>
          <t>周一</t>
        </is>
      </c>
      <c r="D16" s="39" t="inlineStr">
        <is>
          <t>文档解析：PDF 表格、扫描件、Markdown</t>
        </is>
      </c>
      <c r="E16" s="40" t="inlineStr">
        <is>
          <t>Unstructured</t>
        </is>
      </c>
      <c r="F16" s="40" t="inlineStr">
        <is>
          <t>MinerU</t>
        </is>
      </c>
      <c r="G16" s="39" t="inlineStr">
        <is>
          <t>50 份 PDF 能转成结构化文本，表格不塌</t>
        </is>
      </c>
    </row>
    <row r="17" ht="30" customHeight="1">
      <c r="A17" s="61" t="n">
        <v>3</v>
      </c>
      <c r="B17" s="39" t="inlineStr">
        <is>
          <t>11/02–11/08</t>
        </is>
      </c>
      <c r="C17" s="61" t="inlineStr">
        <is>
          <t>周二</t>
        </is>
      </c>
      <c r="D17" s="39" t="inlineStr">
        <is>
          <t>切分策略：固定窗口 / 递归 / 语义 / 父子块</t>
        </is>
      </c>
      <c r="E17" s="40" t="inlineStr">
        <is>
          <t>Chunking 策略</t>
        </is>
      </c>
      <c r="F17" s="41" t="inlineStr">
        <is>
          <t>—</t>
        </is>
      </c>
      <c r="G17" s="39" t="inlineStr">
        <is>
          <t>同一批文档切出 3 种结果并统计块数</t>
        </is>
      </c>
    </row>
    <row r="18" ht="30" customHeight="1">
      <c r="A18" s="61" t="n">
        <v>3</v>
      </c>
      <c r="B18" s="39" t="inlineStr">
        <is>
          <t>11/02–11/08</t>
        </is>
      </c>
      <c r="C18" s="61" t="inlineStr">
        <is>
          <t>周三</t>
        </is>
      </c>
      <c r="D18" s="39" t="inlineStr">
        <is>
          <t>Embedding 原理与你该关心的维度</t>
        </is>
      </c>
      <c r="E18" s="40" t="inlineStr">
        <is>
          <t>Sentence Transformers</t>
        </is>
      </c>
      <c r="F18" s="41" t="inlineStr">
        <is>
          <t>—</t>
        </is>
      </c>
      <c r="G18" s="39" t="inlineStr">
        <is>
          <t>本地跑一个 embedding 模型，算两句话相似度</t>
        </is>
      </c>
    </row>
    <row r="19" ht="30" customHeight="1">
      <c r="A19" s="61" t="n">
        <v>3</v>
      </c>
      <c r="B19" s="39" t="inlineStr">
        <is>
          <t>11/02–11/08</t>
        </is>
      </c>
      <c r="C19" s="61" t="inlineStr">
        <is>
          <t>周四</t>
        </is>
      </c>
      <c r="D19" s="39" t="inlineStr">
        <is>
          <t>向量库：Chroma / FAISS 的取舍</t>
        </is>
      </c>
      <c r="E19" s="40" t="inlineStr">
        <is>
          <t>Chroma</t>
        </is>
      </c>
      <c r="F19" s="40" t="inlineStr">
        <is>
          <t>FAISS Wiki</t>
        </is>
      </c>
      <c r="G19" s="39" t="inlineStr">
        <is>
          <t>建库、持久化、重启后能查</t>
        </is>
      </c>
    </row>
    <row r="20" ht="30" customHeight="1">
      <c r="A20" s="61" t="n">
        <v>3</v>
      </c>
      <c r="B20" s="39" t="inlineStr">
        <is>
          <t>11/02–11/08</t>
        </is>
      </c>
      <c r="C20" s="61" t="inlineStr">
        <is>
          <t>周五</t>
        </is>
      </c>
      <c r="D20" s="39" t="inlineStr">
        <is>
          <t>引用与溯源：答案里怎么带出处</t>
        </is>
      </c>
      <c r="E20" s="40" t="inlineStr">
        <is>
          <t>LlamaIndex 文档</t>
        </is>
      </c>
      <c r="F20" s="41" t="inlineStr">
        <is>
          <t>—</t>
        </is>
      </c>
      <c r="G20" s="39" t="inlineStr">
        <is>
          <t>回答末尾附 chunk id 与原文片段</t>
        </is>
      </c>
    </row>
    <row r="21" ht="40" customHeight="1">
      <c r="A21" s="61" t="n">
        <v>3</v>
      </c>
      <c r="B21" s="39" t="inlineStr">
        <is>
          <t>11/02–11/08</t>
        </is>
      </c>
      <c r="C21" s="62" t="inlineStr">
        <is>
          <t>周末</t>
        </is>
      </c>
      <c r="D21" s="39" t="inlineStr">
        <is>
          <t>实战：把解析→切分→向量化→检索串成一条 CLI，对 5 个问题给出带引用的答案。</t>
        </is>
      </c>
      <c r="E21" s="43" t="inlineStr">
        <is>
          <t>检索兜底：pdf 解析 表格 保真；text splitter recursive</t>
        </is>
      </c>
      <c r="F21" s="63" t="inlineStr"/>
      <c r="G21" s="63" t="inlineStr"/>
    </row>
    <row r="22" ht="30" customHeight="1">
      <c r="A22" s="61" t="n">
        <v>4</v>
      </c>
      <c r="B22" s="39" t="inlineStr">
        <is>
          <t>11/09–11/15</t>
        </is>
      </c>
      <c r="C22" s="61" t="inlineStr">
        <is>
          <t>周一</t>
        </is>
      </c>
      <c r="D22" s="39" t="inlineStr">
        <is>
          <t>Recall@k / MRR / NDCG 到底在算什么</t>
        </is>
      </c>
      <c r="E22" s="40" t="inlineStr">
        <is>
          <t>IR 评估指标</t>
        </is>
      </c>
      <c r="F22" s="41" t="inlineStr">
        <is>
          <t>—</t>
        </is>
      </c>
      <c r="G22" s="39" t="inlineStr">
        <is>
          <t>手算 5 条样例的 Recall@3 与 MRR</t>
        </is>
      </c>
    </row>
    <row r="23" ht="30" customHeight="1">
      <c r="A23" s="61" t="n">
        <v>4</v>
      </c>
      <c r="B23" s="39" t="inlineStr">
        <is>
          <t>11/09–11/15</t>
        </is>
      </c>
      <c r="C23" s="61" t="inlineStr">
        <is>
          <t>周二</t>
        </is>
      </c>
      <c r="D23" s="39" t="inlineStr">
        <is>
          <t>用 RAGAs 从文档反向生成问题集</t>
        </is>
      </c>
      <c r="E23" s="40" t="inlineStr">
        <is>
          <t>RAGAs 测试集生成</t>
        </is>
      </c>
      <c r="F23" s="41" t="inlineStr">
        <is>
          <t>—</t>
        </is>
      </c>
      <c r="G23" s="39" t="inlineStr">
        <is>
          <t>生成 30 条「问题 + 标准答案」</t>
        </is>
      </c>
    </row>
    <row r="24" ht="30" customHeight="1">
      <c r="A24" s="61" t="n">
        <v>4</v>
      </c>
      <c r="B24" s="39" t="inlineStr">
        <is>
          <t>11/09–11/15</t>
        </is>
      </c>
      <c r="C24" s="61" t="inlineStr">
        <is>
          <t>周三</t>
        </is>
      </c>
      <c r="D24" s="39" t="inlineStr">
        <is>
          <t>人工过一遍生成集：去噪、补难度分层</t>
        </is>
      </c>
      <c r="E24" s="40" t="inlineStr">
        <is>
          <t>RAGAs 数据集概念</t>
        </is>
      </c>
      <c r="F24" s="41" t="inlineStr">
        <is>
          <t>—</t>
        </is>
      </c>
      <c r="G24" s="39" t="inlineStr">
        <is>
          <t>30 条里留下 20 条可用，标注易/中/难</t>
        </is>
      </c>
    </row>
    <row r="25" ht="30" customHeight="1">
      <c r="A25" s="61" t="n">
        <v>4</v>
      </c>
      <c r="B25" s="39" t="inlineStr">
        <is>
          <t>11/09–11/15</t>
        </is>
      </c>
      <c r="C25" s="61" t="inlineStr">
        <is>
          <t>周四</t>
        </is>
      </c>
      <c r="D25" s="39" t="inlineStr">
        <is>
          <t>写检索评测脚本：一个函数换策略就能跑</t>
        </is>
      </c>
      <c r="E25" s="40" t="inlineStr">
        <is>
          <t>pytest 参数化</t>
        </is>
      </c>
      <c r="F25" s="41" t="inlineStr">
        <is>
          <t>—</t>
        </is>
      </c>
      <c r="G25" s="39" t="inlineStr">
        <is>
          <t>`pytest eval_retrieval.py` 输出一张表</t>
        </is>
      </c>
    </row>
    <row r="26" ht="30" customHeight="1">
      <c r="A26" s="61" t="n">
        <v>4</v>
      </c>
      <c r="B26" s="39" t="inlineStr">
        <is>
          <t>11/09–11/15</t>
        </is>
      </c>
      <c r="C26" s="61" t="inlineStr">
        <is>
          <t>周五</t>
        </is>
      </c>
      <c r="D26" s="39" t="inlineStr">
        <is>
          <t>实验设计：控制变量，只改一个参数</t>
        </is>
      </c>
      <c r="E26" s="40" t="inlineStr">
        <is>
          <t>Chunking 策略</t>
        </is>
      </c>
      <c r="F26" s="41" t="inlineStr">
        <is>
          <t>—</t>
        </is>
      </c>
      <c r="G26" s="39" t="inlineStr">
        <is>
          <t>3 种 chunk 策略 × 同一批问题的对比表</t>
        </is>
      </c>
    </row>
    <row r="27" ht="40" customHeight="1">
      <c r="A27" s="61" t="n">
        <v>4</v>
      </c>
      <c r="B27" s="39" t="inlineStr">
        <is>
          <t>11/09–11/15</t>
        </is>
      </c>
      <c r="C27" s="62" t="inlineStr">
        <is>
          <t>周末</t>
        </is>
      </c>
      <c r="D27" s="39" t="inlineStr">
        <is>
          <t>实战：产出「检索评测报告 v1」：指标定义、数据集说明、3 组对比、结论一句话。</t>
        </is>
      </c>
      <c r="E27" s="43" t="inlineStr">
        <is>
          <t>检索兜底：Recall@k 计算；ragas testset generation 中文</t>
        </is>
      </c>
      <c r="F27" s="63" t="inlineStr"/>
      <c r="G27" s="63" t="inlineStr"/>
    </row>
    <row r="28" ht="30" customHeight="1">
      <c r="A28" s="61" t="n">
        <v>5</v>
      </c>
      <c r="B28" s="39" t="inlineStr">
        <is>
          <t>11/16–11/22</t>
        </is>
      </c>
      <c r="C28" s="61" t="inlineStr">
        <is>
          <t>周一</t>
        </is>
      </c>
      <c r="D28" s="39" t="inlineStr">
        <is>
          <t>Query 改写：Multi-Query / HyDE 的适用场景</t>
        </is>
      </c>
      <c r="E28" s="40" t="inlineStr">
        <is>
          <t>LlamaIndex 文档</t>
        </is>
      </c>
      <c r="F28" s="41" t="inlineStr">
        <is>
          <t>—</t>
        </is>
      </c>
      <c r="G28" s="39" t="inlineStr">
        <is>
          <t>同一个问题生成 3 个变体并各自检索</t>
        </is>
      </c>
    </row>
    <row r="29" ht="30" customHeight="1">
      <c r="A29" s="61" t="n">
        <v>5</v>
      </c>
      <c r="B29" s="39" t="inlineStr">
        <is>
          <t>11/16–11/22</t>
        </is>
      </c>
      <c r="C29" s="61" t="inlineStr">
        <is>
          <t>周二</t>
        </is>
      </c>
      <c r="D29" s="39" t="inlineStr">
        <is>
          <t>BM25 与稀疏检索：为什么它能补上向量检索的短板</t>
        </is>
      </c>
      <c r="E29" s="40" t="inlineStr">
        <is>
          <t>rank_bm25</t>
        </is>
      </c>
      <c r="F29" s="41" t="inlineStr">
        <is>
          <t>—</t>
        </is>
      </c>
      <c r="G29" s="39" t="inlineStr">
        <is>
          <t>BM25 单跑一次，记录 Recall@5</t>
        </is>
      </c>
    </row>
    <row r="30" ht="30" customHeight="1">
      <c r="A30" s="61" t="n">
        <v>5</v>
      </c>
      <c r="B30" s="39" t="inlineStr">
        <is>
          <t>11/16–11/22</t>
        </is>
      </c>
      <c r="C30" s="61" t="inlineStr">
        <is>
          <t>周三</t>
        </is>
      </c>
      <c r="D30" s="39" t="inlineStr">
        <is>
          <t>混合检索与 RRF 融合</t>
        </is>
      </c>
      <c r="E30" s="40" t="inlineStr">
        <is>
          <t>RAG from Scratch</t>
        </is>
      </c>
      <c r="F30" s="41" t="inlineStr">
        <is>
          <t>—</t>
        </is>
      </c>
      <c r="G30" s="39" t="inlineStr">
        <is>
          <t>向量 + BM25 融合后 Recall@5 提升</t>
        </is>
      </c>
    </row>
    <row r="31" ht="30" customHeight="1">
      <c r="A31" s="61" t="n">
        <v>5</v>
      </c>
      <c r="B31" s="39" t="inlineStr">
        <is>
          <t>11/16–11/22</t>
        </is>
      </c>
      <c r="C31" s="61" t="inlineStr">
        <is>
          <t>周四</t>
        </is>
      </c>
      <c r="D31" s="39" t="inlineStr">
        <is>
          <t>Rerank：交叉编码器的精度与延迟代价</t>
        </is>
      </c>
      <c r="E31" s="40" t="inlineStr">
        <is>
          <t>Cohere Rerank</t>
        </is>
      </c>
      <c r="F31" s="41" t="inlineStr">
        <is>
          <t>—</t>
        </is>
      </c>
      <c r="G31" s="39" t="inlineStr">
        <is>
          <t>加 rerank 后 top-3 命中率与 P99 延迟</t>
        </is>
      </c>
    </row>
    <row r="32" ht="30" customHeight="1">
      <c r="A32" s="61" t="n">
        <v>5</v>
      </c>
      <c r="B32" s="39" t="inlineStr">
        <is>
          <t>11/16–11/22</t>
        </is>
      </c>
      <c r="C32" s="61" t="inlineStr">
        <is>
          <t>周五</t>
        </is>
      </c>
      <c r="D32" s="39" t="inlineStr">
        <is>
          <t>消融实验：逐个打开，看谁真的有用</t>
        </is>
      </c>
      <c r="E32" s="40" t="inlineStr">
        <is>
          <t>RAG from Scratch</t>
        </is>
      </c>
      <c r="F32" s="41" t="inlineStr">
        <is>
          <t>—</t>
        </is>
      </c>
      <c r="G32" s="39" t="inlineStr">
        <is>
          <t>一张四行消融表（基线/+改写/+混合/+重排）</t>
        </is>
      </c>
    </row>
    <row r="33" ht="40" customHeight="1">
      <c r="A33" s="61" t="n">
        <v>5</v>
      </c>
      <c r="B33" s="39" t="inlineStr">
        <is>
          <t>11/16–11/22</t>
        </is>
      </c>
      <c r="C33" s="62" t="inlineStr">
        <is>
          <t>周末</t>
        </is>
      </c>
      <c r="D33" s="39" t="inlineStr">
        <is>
          <t>实战：把 W3 的系统升级到「混合检索 + 重排」，在报告里写清每个改动的边际收益。</t>
        </is>
      </c>
      <c r="E33" s="43" t="inlineStr">
        <is>
          <t>检索兜底：hybrid search RRF；bge-reranker 本地部署</t>
        </is>
      </c>
      <c r="F33" s="63" t="inlineStr"/>
      <c r="G33" s="63" t="inlineStr"/>
    </row>
    <row r="34" ht="30" customHeight="1">
      <c r="A34" s="61" t="n">
        <v>6</v>
      </c>
      <c r="B34" s="39" t="inlineStr">
        <is>
          <t>11/23–11/29</t>
        </is>
      </c>
      <c r="C34" s="61" t="inlineStr">
        <is>
          <t>周一</t>
        </is>
      </c>
      <c r="D34" s="39" t="inlineStr">
        <is>
          <t>Faithfulness / Answer Relevancy 怎么定义</t>
        </is>
      </c>
      <c r="E34" s="40" t="inlineStr">
        <is>
          <t>RAGAs 指标清单</t>
        </is>
      </c>
      <c r="F34" s="41" t="inlineStr">
        <is>
          <t>—</t>
        </is>
      </c>
      <c r="G34" s="39" t="inlineStr">
        <is>
          <t>能解释每个指标在惩罚什么错误</t>
        </is>
      </c>
    </row>
    <row r="35" ht="30" customHeight="1">
      <c r="A35" s="61" t="n">
        <v>6</v>
      </c>
      <c r="B35" s="39" t="inlineStr">
        <is>
          <t>11/23–11/29</t>
        </is>
      </c>
      <c r="C35" s="61" t="inlineStr">
        <is>
          <t>周二</t>
        </is>
      </c>
      <c r="D35" s="39" t="inlineStr">
        <is>
          <t>跑一次完整 RAGAs 评估</t>
        </is>
      </c>
      <c r="E35" s="40" t="inlineStr">
        <is>
          <t>RAGAs 快速开始</t>
        </is>
      </c>
      <c r="F35" s="41" t="inlineStr">
        <is>
          <t>—</t>
        </is>
      </c>
      <c r="G35" s="39" t="inlineStr">
        <is>
          <t>基线 vs 优化版四指标对比</t>
        </is>
      </c>
    </row>
    <row r="36" ht="30" customHeight="1">
      <c r="A36" s="61" t="n">
        <v>6</v>
      </c>
      <c r="B36" s="39" t="inlineStr">
        <is>
          <t>11/23–11/29</t>
        </is>
      </c>
      <c r="C36" s="61" t="inlineStr">
        <is>
          <t>周三</t>
        </is>
      </c>
      <c r="D36" s="39" t="inlineStr">
        <is>
          <t>Milvus 单机部署与 SDK 增删改查</t>
        </is>
      </c>
      <c r="E36" s="40" t="inlineStr">
        <is>
          <t>Milvus 文档</t>
        </is>
      </c>
      <c r="F36" s="41" t="inlineStr">
        <is>
          <t>—</t>
        </is>
      </c>
      <c r="G36" s="39" t="inlineStr">
        <is>
          <t>Docker 起 Milvus，写入 1 万条并检索</t>
        </is>
      </c>
    </row>
    <row r="37" ht="30" customHeight="1">
      <c r="A37" s="61" t="n">
        <v>6</v>
      </c>
      <c r="B37" s="39" t="inlineStr">
        <is>
          <t>11/23–11/29</t>
        </is>
      </c>
      <c r="C37" s="61" t="inlineStr">
        <is>
          <t>周四</t>
        </is>
      </c>
      <c r="D37" s="39" t="inlineStr">
        <is>
          <t>Docker 打包：镜像瘦身与启动自检</t>
        </is>
      </c>
      <c r="E37" s="40" t="inlineStr">
        <is>
          <t>Docker 文档</t>
        </is>
      </c>
      <c r="F37" s="41" t="inlineStr">
        <is>
          <t>—</t>
        </is>
      </c>
      <c r="G37" s="39" t="inlineStr">
        <is>
          <t>镜像 &lt; 1GB，启动时打印向量库连接状态</t>
        </is>
      </c>
    </row>
    <row r="38" ht="30" customHeight="1">
      <c r="A38" s="61" t="n">
        <v>6</v>
      </c>
      <c r="B38" s="39" t="inlineStr">
        <is>
          <t>11/23–11/29</t>
        </is>
      </c>
      <c r="C38" s="61" t="inlineStr">
        <is>
          <t>周五</t>
        </is>
      </c>
      <c r="D38" s="39" t="inlineStr">
        <is>
          <t>写评估报告与 README（含限制说明）</t>
        </is>
      </c>
      <c r="E38" s="40" t="inlineStr">
        <is>
          <t>Make a README</t>
        </is>
      </c>
      <c r="F38" s="41" t="inlineStr">
        <is>
          <t>—</t>
        </is>
      </c>
      <c r="G38" s="39" t="inlineStr">
        <is>
          <t>别人 3 条命令能跑起来</t>
        </is>
      </c>
    </row>
    <row r="39" ht="40" customHeight="1">
      <c r="A39" s="61" t="n">
        <v>6</v>
      </c>
      <c r="B39" s="39" t="inlineStr">
        <is>
          <t>11/23–11/29</t>
        </is>
      </c>
      <c r="C39" s="62" t="inlineStr">
        <is>
          <t>周末</t>
        </is>
      </c>
      <c r="D39" s="39" t="inlineStr">
        <is>
          <t>实战：里程碑 M1：打 tag v0.1，README 里放指标表；把仓库链接发给…</t>
        </is>
      </c>
      <c r="E39" s="43" t="inlineStr">
        <is>
          <t>检索兜底：ragas faithfulness 中文；milvus docker standalone</t>
        </is>
      </c>
      <c r="F39" s="63" t="inlineStr"/>
      <c r="G39" s="63" t="inlineStr"/>
    </row>
    <row r="40" ht="30" customHeight="1">
      <c r="A40" s="61" t="n">
        <v>7</v>
      </c>
      <c r="B40" s="39" t="inlineStr">
        <is>
          <t>11/30–12/06</t>
        </is>
      </c>
      <c r="C40" s="61" t="inlineStr">
        <is>
          <t>周一</t>
        </is>
      </c>
      <c r="D40" s="39" t="inlineStr">
        <is>
          <t>Agent 与 Workflow 的边界：什么场景不该用 Agent</t>
        </is>
      </c>
      <c r="E40" s="40" t="inlineStr">
        <is>
          <t>Building effective agents</t>
        </is>
      </c>
      <c r="F40" s="41" t="inlineStr">
        <is>
          <t>—</t>
        </is>
      </c>
      <c r="G40" s="39" t="inlineStr">
        <is>
          <t>写出 3 个「不该用 Agent」的反例</t>
        </is>
      </c>
    </row>
    <row r="41" ht="30" customHeight="1">
      <c r="A41" s="61" t="n">
        <v>7</v>
      </c>
      <c r="B41" s="39" t="inlineStr">
        <is>
          <t>11/30–12/06</t>
        </is>
      </c>
      <c r="C41" s="61" t="inlineStr">
        <is>
          <t>周二</t>
        </is>
      </c>
      <c r="D41" s="39" t="inlineStr">
        <is>
          <t>ReAct：Reason + Act 的原始论文</t>
        </is>
      </c>
      <c r="E41" s="40" t="inlineStr">
        <is>
          <t>ReAct 论文</t>
        </is>
      </c>
      <c r="F41" s="41" t="inlineStr">
        <is>
          <t>—</t>
        </is>
      </c>
      <c r="G41" s="39" t="inlineStr">
        <is>
          <t>画出 think→act→observe 循环图</t>
        </is>
      </c>
    </row>
    <row r="42" ht="30" customHeight="1">
      <c r="A42" s="61" t="n">
        <v>7</v>
      </c>
      <c r="B42" s="39" t="inlineStr">
        <is>
          <t>11/30–12/06</t>
        </is>
      </c>
      <c r="C42" s="61" t="inlineStr">
        <is>
          <t>周三</t>
        </is>
      </c>
      <c r="D42" s="39" t="inlineStr">
        <is>
          <t>Agent 的系统视角：规划、记忆、工具</t>
        </is>
      </c>
      <c r="E42" s="40" t="inlineStr">
        <is>
          <t>Lilian Weng: LLM Powered Agents</t>
        </is>
      </c>
      <c r="F42" s="41" t="inlineStr">
        <is>
          <t>—</t>
        </is>
      </c>
      <c r="G42" s="39" t="inlineStr">
        <is>
          <t>把博客里的组件映射到你自己的代码结构</t>
        </is>
      </c>
    </row>
    <row r="43" ht="30" customHeight="1">
      <c r="A43" s="61" t="n">
        <v>7</v>
      </c>
      <c r="B43" s="39" t="inlineStr">
        <is>
          <t>11/30–12/06</t>
        </is>
      </c>
      <c r="C43" s="61" t="inlineStr">
        <is>
          <t>周四</t>
        </is>
      </c>
      <c r="D43" s="39" t="inlineStr">
        <is>
          <t>写 loop：消息累积、停止条件、最大步数</t>
        </is>
      </c>
      <c r="E43" s="40" t="inlineStr">
        <is>
          <t>OpenAI Function Calling</t>
        </is>
      </c>
      <c r="F43" s="41" t="inlineStr">
        <is>
          <t>—</t>
        </is>
      </c>
      <c r="G43" s="39" t="inlineStr">
        <is>
          <t>3 个工具能跑通一次两轮调用</t>
        </is>
      </c>
    </row>
    <row r="44" ht="30" customHeight="1">
      <c r="A44" s="61" t="n">
        <v>7</v>
      </c>
      <c r="B44" s="39" t="inlineStr">
        <is>
          <t>11/30–12/06</t>
        </is>
      </c>
      <c r="C44" s="61" t="inlineStr">
        <is>
          <t>周五</t>
        </is>
      </c>
      <c r="D44" s="39" t="inlineStr">
        <is>
          <t>工具注册表：dispatch 表代替 if-elif</t>
        </is>
      </c>
      <c r="E44" s="40" t="inlineStr">
        <is>
          <t>Pydantic 文档</t>
        </is>
      </c>
      <c r="F44" s="41" t="inlineStr">
        <is>
          <t>—</t>
        </is>
      </c>
      <c r="G44" s="39" t="inlineStr">
        <is>
          <t>加一个工具只需改一行注册代码</t>
        </is>
      </c>
    </row>
    <row r="45" ht="40" customHeight="1">
      <c r="A45" s="61" t="n">
        <v>7</v>
      </c>
      <c r="B45" s="39" t="inlineStr">
        <is>
          <t>11/30–12/06</t>
        </is>
      </c>
      <c r="C45" s="62" t="inlineStr">
        <is>
          <t>周末</t>
        </is>
      </c>
      <c r="D45" s="39" t="inlineStr">
        <is>
          <t>实战：mini-agent 完成：calculator / search / re…</t>
        </is>
      </c>
      <c r="E45" s="43" t="inlineStr">
        <is>
          <t>检索兜底：react agent 最小实现 python；tool registry dispatch</t>
        </is>
      </c>
      <c r="F45" s="63" t="inlineStr"/>
      <c r="G45" s="63" t="inlineStr"/>
    </row>
    <row r="46" ht="30" customHeight="1">
      <c r="A46" s="61" t="n">
        <v>8</v>
      </c>
      <c r="B46" s="39" t="inlineStr">
        <is>
          <t>12/07–12/13</t>
        </is>
      </c>
      <c r="C46" s="61" t="inlineStr">
        <is>
          <t>周一</t>
        </is>
      </c>
      <c r="D46" s="39" t="inlineStr">
        <is>
          <t>工具 schema 设计：描述、枚举、必填项</t>
        </is>
      </c>
      <c r="E46" s="40" t="inlineStr">
        <is>
          <t>Function Calling 指南</t>
        </is>
      </c>
      <c r="F46" s="41" t="inlineStr">
        <is>
          <t>—</t>
        </is>
      </c>
      <c r="G46" s="39" t="inlineStr">
        <is>
          <t>给同一个工具写两版描述，对比选中率</t>
        </is>
      </c>
    </row>
    <row r="47" ht="30" customHeight="1">
      <c r="A47" s="61" t="n">
        <v>8</v>
      </c>
      <c r="B47" s="39" t="inlineStr">
        <is>
          <t>12/07–12/13</t>
        </is>
      </c>
      <c r="C47" s="61" t="inlineStr">
        <is>
          <t>周二</t>
        </is>
      </c>
      <c r="D47" s="39" t="inlineStr">
        <is>
          <t>结构化输出与解析失败的处理</t>
        </is>
      </c>
      <c r="E47" s="40" t="inlineStr">
        <is>
          <t>OpenAI 结构化输出</t>
        </is>
      </c>
      <c r="F47" s="41" t="inlineStr">
        <is>
          <t>—</t>
        </is>
      </c>
      <c r="G47" s="39" t="inlineStr">
        <is>
          <t>解析失败时不崩，转成一次重试</t>
        </is>
      </c>
    </row>
    <row r="48" ht="30" customHeight="1">
      <c r="A48" s="61" t="n">
        <v>8</v>
      </c>
      <c r="B48" s="39" t="inlineStr">
        <is>
          <t>12/07–12/13</t>
        </is>
      </c>
      <c r="C48" s="61" t="inlineStr">
        <is>
          <t>周三</t>
        </is>
      </c>
      <c r="D48" s="39" t="inlineStr">
        <is>
          <t>重试策略：指数退避、幂等、最大次数</t>
        </is>
      </c>
      <c r="E48" s="40" t="inlineStr">
        <is>
          <t>tenacity 文档</t>
        </is>
      </c>
      <c r="F48" s="41" t="inlineStr">
        <is>
          <t>—</t>
        </is>
      </c>
      <c r="G48" s="39" t="inlineStr">
        <is>
          <t>注入 30% 失败率，成功率从 70% 提升到 99%</t>
        </is>
      </c>
    </row>
    <row r="49" ht="30" customHeight="1">
      <c r="A49" s="61" t="n">
        <v>8</v>
      </c>
      <c r="B49" s="39" t="inlineStr">
        <is>
          <t>12/07–12/13</t>
        </is>
      </c>
      <c r="C49" s="61" t="inlineStr">
        <is>
          <t>周四</t>
        </is>
      </c>
      <c r="D49" s="39" t="inlineStr">
        <is>
          <t>降级路径：工具挂了 Agent 该说什么</t>
        </is>
      </c>
      <c r="E49" s="40" t="inlineStr">
        <is>
          <t>Building effective agents</t>
        </is>
      </c>
      <c r="F49" s="41" t="inlineStr">
        <is>
          <t>—</t>
        </is>
      </c>
      <c r="G49" s="39" t="inlineStr">
        <is>
          <t>写清 3 种降级策略及触发条件</t>
        </is>
      </c>
    </row>
    <row r="50" ht="30" customHeight="1">
      <c r="A50" s="61" t="n">
        <v>8</v>
      </c>
      <c r="B50" s="39" t="inlineStr">
        <is>
          <t>12/07–12/13</t>
        </is>
      </c>
      <c r="C50" s="61" t="inlineStr">
        <is>
          <t>周五</t>
        </is>
      </c>
      <c r="D50" s="39" t="inlineStr">
        <is>
          <t>做失败率实验并记录数据</t>
        </is>
      </c>
      <c r="E50" s="40" t="inlineStr">
        <is>
          <t>pytest 参数化</t>
        </is>
      </c>
      <c r="F50" s="41" t="inlineStr">
        <is>
          <t>—</t>
        </is>
      </c>
      <c r="G50" s="39" t="inlineStr">
        <is>
          <t>三种策略对比表：成功率 / 平均步数 / 成本</t>
        </is>
      </c>
    </row>
    <row r="51" ht="40" customHeight="1">
      <c r="A51" s="61" t="n">
        <v>8</v>
      </c>
      <c r="B51" s="39" t="inlineStr">
        <is>
          <t>12/07–12/13</t>
        </is>
      </c>
      <c r="C51" s="62" t="inlineStr">
        <is>
          <t>周末</t>
        </is>
      </c>
      <c r="D51" s="39" t="inlineStr">
        <is>
          <t>实战：给 mini-agent 加「工具失败注入开关」，跑一遍对照实验，结论写进 …</t>
        </is>
      </c>
      <c r="E51" s="43" t="inlineStr">
        <is>
          <t>检索兜底：tenacity retry 指数退避；工具 描述 提升 准确率</t>
        </is>
      </c>
      <c r="F51" s="63" t="inlineStr"/>
      <c r="G51" s="63" t="inlineStr"/>
    </row>
    <row r="52" ht="30" customHeight="1">
      <c r="A52" s="61" t="n">
        <v>9</v>
      </c>
      <c r="B52" s="39" t="inlineStr">
        <is>
          <t>12/14–12/20</t>
        </is>
      </c>
      <c r="C52" s="61" t="inlineStr">
        <is>
          <t>周一</t>
        </is>
      </c>
      <c r="D52" s="39" t="inlineStr">
        <is>
          <t>MCP 是什么、解决谁的痛</t>
        </is>
      </c>
      <c r="E52" s="40" t="inlineStr">
        <is>
          <t>MCP 官网</t>
        </is>
      </c>
      <c r="F52" s="41" t="inlineStr">
        <is>
          <t>—</t>
        </is>
      </c>
      <c r="G52" s="39" t="inlineStr">
        <is>
          <t>用 USB-C 的类比讲清 client / server / host</t>
        </is>
      </c>
    </row>
    <row r="53" ht="30" customHeight="1">
      <c r="A53" s="61" t="n">
        <v>9</v>
      </c>
      <c r="B53" s="39" t="inlineStr">
        <is>
          <t>12/14–12/20</t>
        </is>
      </c>
      <c r="C53" s="61" t="inlineStr">
        <is>
          <t>周二</t>
        </is>
      </c>
      <c r="D53" s="39" t="inlineStr">
        <is>
          <t>架构：传输层、能力协商、资源与提示</t>
        </is>
      </c>
      <c r="E53" s="40" t="inlineStr">
        <is>
          <t>MCP 架构</t>
        </is>
      </c>
      <c r="F53" s="41" t="inlineStr">
        <is>
          <t>—</t>
        </is>
      </c>
      <c r="G53" s="39" t="inlineStr">
        <is>
          <t>画出一次工具调用的时序</t>
        </is>
      </c>
    </row>
    <row r="54" ht="30" customHeight="1">
      <c r="A54" s="61" t="n">
        <v>9</v>
      </c>
      <c r="B54" s="39" t="inlineStr">
        <is>
          <t>12/14–12/20</t>
        </is>
      </c>
      <c r="C54" s="61" t="inlineStr">
        <is>
          <t>周三</t>
        </is>
      </c>
      <c r="D54" s="39" t="inlineStr">
        <is>
          <t>写第一个 Server：暴露你的本地文档检索</t>
        </is>
      </c>
      <c r="E54" s="40" t="inlineStr">
        <is>
          <t>构建 MCP Server</t>
        </is>
      </c>
      <c r="F54" s="40" t="inlineStr">
        <is>
          <t>Python SDK</t>
        </is>
      </c>
      <c r="G54" s="39" t="inlineStr">
        <is>
          <t>Client 能列出并调用你的工具</t>
        </is>
      </c>
    </row>
    <row r="55" ht="30" customHeight="1">
      <c r="A55" s="61" t="n">
        <v>9</v>
      </c>
      <c r="B55" s="39" t="inlineStr">
        <is>
          <t>12/14–12/20</t>
        </is>
      </c>
      <c r="C55" s="61" t="inlineStr">
        <is>
          <t>周四</t>
        </is>
      </c>
      <c r="D55" s="39" t="inlineStr">
        <is>
          <t>工具契约测试：输入输出、错误码、超时</t>
        </is>
      </c>
      <c r="E55" s="40" t="inlineStr">
        <is>
          <t>MCP 调试</t>
        </is>
      </c>
      <c r="F55" s="41" t="inlineStr">
        <is>
          <t>—</t>
        </is>
      </c>
      <c r="G55" s="39" t="inlineStr">
        <is>
          <t>5 条契约用例，含非法参数</t>
        </is>
      </c>
    </row>
    <row r="56" ht="30" customHeight="1">
      <c r="A56" s="61" t="n">
        <v>9</v>
      </c>
      <c r="B56" s="39" t="inlineStr">
        <is>
          <t>12/14–12/20</t>
        </is>
      </c>
      <c r="C56" s="61" t="inlineStr">
        <is>
          <t>周五</t>
        </is>
      </c>
      <c r="D56" s="39" t="inlineStr">
        <is>
          <t>接进一个真实客户端并截图</t>
        </is>
      </c>
      <c r="E56" s="40" t="inlineStr">
        <is>
          <t>MCP 示例 Servers</t>
        </is>
      </c>
      <c r="F56" s="41" t="inlineStr">
        <is>
          <t>—</t>
        </is>
      </c>
      <c r="G56" s="39" t="inlineStr">
        <is>
          <t>客户端里能自然语言触发你的 Server</t>
        </is>
      </c>
    </row>
    <row r="57" ht="40" customHeight="1">
      <c r="A57" s="61" t="n">
        <v>9</v>
      </c>
      <c r="B57" s="39" t="inlineStr">
        <is>
          <t>12/14–12/20</t>
        </is>
      </c>
      <c r="C57" s="62" t="inlineStr">
        <is>
          <t>周末</t>
        </is>
      </c>
      <c r="D57" s="39" t="inlineStr">
        <is>
          <t>实战：把 W3 的文档检索封装成 MCP Server，写 README + 3 …</t>
        </is>
      </c>
      <c r="E57" s="43" t="inlineStr">
        <is>
          <t>检索兜底：mcp python sdk server 快速上手；mcp inspector</t>
        </is>
      </c>
      <c r="F57" s="63" t="inlineStr"/>
      <c r="G57" s="63" t="inlineStr"/>
    </row>
    <row r="58" ht="30" customHeight="1">
      <c r="A58" s="61" t="n">
        <v>10</v>
      </c>
      <c r="B58" s="39" t="inlineStr">
        <is>
          <t>12/21–12/27</t>
        </is>
      </c>
      <c r="C58" s="61" t="inlineStr">
        <is>
          <t>周一</t>
        </is>
      </c>
      <c r="D58" s="39" t="inlineStr">
        <is>
          <t>上下文工程 vs 提示词工程</t>
        </is>
      </c>
      <c r="E58" s="40" t="inlineStr">
        <is>
          <t>Anthropic: Context Engineering</t>
        </is>
      </c>
      <c r="F58" s="41" t="inlineStr">
        <is>
          <t>—</t>
        </is>
      </c>
      <c r="G58" s="39" t="inlineStr">
        <is>
          <t>列出你的 Agent 里 4 类上下文各自该放什么</t>
        </is>
      </c>
    </row>
    <row r="59" ht="30" customHeight="1">
      <c r="A59" s="61" t="n">
        <v>10</v>
      </c>
      <c r="B59" s="39" t="inlineStr">
        <is>
          <t>12/21–12/27</t>
        </is>
      </c>
      <c r="C59" s="61" t="inlineStr">
        <is>
          <t>周二</t>
        </is>
      </c>
      <c r="D59" s="39" t="inlineStr">
        <is>
          <t>分层设计：system / 长期 / 会话 / 单轮</t>
        </is>
      </c>
      <c r="E59" s="40" t="inlineStr">
        <is>
          <t>LangGraph Memory</t>
        </is>
      </c>
      <c r="F59" s="41" t="inlineStr">
        <is>
          <t>—</t>
        </is>
      </c>
      <c r="G59" s="39" t="inlineStr">
        <is>
          <t>画出你的分层图并标注失效策略</t>
        </is>
      </c>
    </row>
    <row r="60" ht="30" customHeight="1">
      <c r="A60" s="61" t="n">
        <v>10</v>
      </c>
      <c r="B60" s="39" t="inlineStr">
        <is>
          <t>12/21–12/27</t>
        </is>
      </c>
      <c r="C60" s="61" t="inlineStr">
        <is>
          <t>周三</t>
        </is>
      </c>
      <c r="D60" s="39" t="inlineStr">
        <is>
          <t>长期记忆：抽取、去重、召回</t>
        </is>
      </c>
      <c r="E60" s="40" t="inlineStr">
        <is>
          <t>Mem0</t>
        </is>
      </c>
      <c r="F60" s="41" t="inlineStr">
        <is>
          <t>—</t>
        </is>
      </c>
      <c r="G60" s="39" t="inlineStr">
        <is>
          <t>跨会话记住「用户偏好中文 + 不用表格」</t>
        </is>
      </c>
    </row>
    <row r="61" ht="30" customHeight="1">
      <c r="A61" s="61" t="n">
        <v>10</v>
      </c>
      <c r="B61" s="39" t="inlineStr">
        <is>
          <t>12/21–12/27</t>
        </is>
      </c>
      <c r="C61" s="61" t="inlineStr">
        <is>
          <t>周四</t>
        </is>
      </c>
      <c r="D61" s="39" t="inlineStr">
        <is>
          <t>压缩：摘要、裁剪、按需检索三种手段</t>
        </is>
      </c>
      <c r="E61" s="40" t="inlineStr">
        <is>
          <t>Anthropic: Context Engineering</t>
        </is>
      </c>
      <c r="F61" s="41" t="inlineStr">
        <is>
          <t>—</t>
        </is>
      </c>
      <c r="G61" s="39" t="inlineStr">
        <is>
          <t>长对话跑到 20 轮不炸上下文</t>
        </is>
      </c>
    </row>
    <row r="62" ht="30" customHeight="1">
      <c r="A62" s="61" t="n">
        <v>10</v>
      </c>
      <c r="B62" s="39" t="inlineStr">
        <is>
          <t>12/21–12/27</t>
        </is>
      </c>
      <c r="C62" s="61" t="inlineStr">
        <is>
          <t>周五</t>
        </is>
      </c>
      <c r="D62" s="39" t="inlineStr">
        <is>
          <t>量一下压缩到底省了多少</t>
        </is>
      </c>
      <c r="E62" s="40" t="inlineStr">
        <is>
          <t>Langfuse 成本追踪</t>
        </is>
      </c>
      <c r="F62" s="41" t="inlineStr">
        <is>
          <t>—</t>
        </is>
      </c>
      <c r="G62" s="39" t="inlineStr">
        <is>
          <t>压缩前后 token 数与任务成功率对比</t>
        </is>
      </c>
    </row>
    <row r="63" ht="40" customHeight="1">
      <c r="A63" s="61" t="n">
        <v>10</v>
      </c>
      <c r="B63" s="39" t="inlineStr">
        <is>
          <t>12/21–12/27</t>
        </is>
      </c>
      <c r="C63" s="62" t="inlineStr">
        <is>
          <t>周末</t>
        </is>
      </c>
      <c r="D63" s="39" t="inlineStr">
        <is>
          <t>实战：给研究助手加记忆：第 2 天再问同一个项目，它记得上次的结论。附 token…</t>
        </is>
      </c>
      <c r="E63" s="43" t="inlineStr">
        <is>
          <t>检索兜底：context engineering 压缩策略；mem0 原理</t>
        </is>
      </c>
      <c r="F63" s="63" t="inlineStr"/>
      <c r="G63" s="63" t="inlineStr"/>
    </row>
    <row r="64" ht="30" customHeight="1">
      <c r="A64" s="61" t="n">
        <v>11</v>
      </c>
      <c r="B64" s="39" t="inlineStr">
        <is>
          <t>12/28–01/03</t>
        </is>
      </c>
      <c r="C64" s="61" t="inlineStr">
        <is>
          <t>周一</t>
        </is>
      </c>
      <c r="D64" s="39" t="inlineStr">
        <is>
          <t>LangGraph 核心：状态、节点、边</t>
        </is>
      </c>
      <c r="E64" s="40" t="inlineStr">
        <is>
          <t>LangGraph 概览</t>
        </is>
      </c>
      <c r="F64" s="41" t="inlineStr">
        <is>
          <t>—</t>
        </is>
      </c>
      <c r="G64" s="39" t="inlineStr">
        <is>
          <t>一个 3 节点的图跑通</t>
        </is>
      </c>
    </row>
    <row r="65" ht="30" customHeight="1">
      <c r="A65" s="61" t="n">
        <v>11</v>
      </c>
      <c r="B65" s="39" t="inlineStr">
        <is>
          <t>12/28–01/03</t>
        </is>
      </c>
      <c r="C65" s="61" t="inlineStr">
        <is>
          <t>周二</t>
        </is>
      </c>
      <c r="D65" s="39" t="inlineStr">
        <is>
          <t>持久化与检查点：崩溃后能续跑</t>
        </is>
      </c>
      <c r="E65" s="40" t="inlineStr">
        <is>
          <t>Persistence</t>
        </is>
      </c>
      <c r="F65" s="41" t="inlineStr">
        <is>
          <t>—</t>
        </is>
      </c>
      <c r="G65" s="39" t="inlineStr">
        <is>
          <t>杀掉进程再恢复，状态不丢</t>
        </is>
      </c>
    </row>
    <row r="66" ht="30" customHeight="1">
      <c r="A66" s="61" t="n">
        <v>11</v>
      </c>
      <c r="B66" s="39" t="inlineStr">
        <is>
          <t>12/28–01/03</t>
        </is>
      </c>
      <c r="C66" s="61" t="inlineStr">
        <is>
          <t>周三</t>
        </is>
      </c>
      <c r="D66" s="39" t="inlineStr">
        <is>
          <t>中断与人工确认：高风险动作前停下</t>
        </is>
      </c>
      <c r="E66" s="40" t="inlineStr">
        <is>
          <t>Interrupts</t>
        </is>
      </c>
      <c r="F66" s="41" t="inlineStr">
        <is>
          <t>—</t>
        </is>
      </c>
      <c r="G66" s="39" t="inlineStr">
        <is>
          <t>写文件前要求人工确认</t>
        </is>
      </c>
    </row>
    <row r="67" ht="30" customHeight="1">
      <c r="A67" s="61" t="n">
        <v>11</v>
      </c>
      <c r="B67" s="39" t="inlineStr">
        <is>
          <t>12/28–01/03</t>
        </is>
      </c>
      <c r="C67" s="61" t="inlineStr">
        <is>
          <t>周四</t>
        </is>
      </c>
      <c r="D67" s="39" t="inlineStr">
        <is>
          <t>读 learn-claude-code：找 loop、tool、权限、压缩</t>
        </is>
      </c>
      <c r="E67" s="40" t="inlineStr">
        <is>
          <t>learn-claude-code</t>
        </is>
      </c>
      <c r="F67" s="41" t="inlineStr">
        <is>
          <t>—</t>
        </is>
      </c>
      <c r="G67" s="39" t="inlineStr">
        <is>
          <t>一页笔记：4 个机制分别在哪一行</t>
        </is>
      </c>
    </row>
    <row r="68" ht="30" customHeight="1">
      <c r="A68" s="61" t="n">
        <v>11</v>
      </c>
      <c r="B68" s="39" t="inlineStr">
        <is>
          <t>12/28–01/03</t>
        </is>
      </c>
      <c r="C68" s="61" t="inlineStr">
        <is>
          <t>周五</t>
        </is>
      </c>
      <c r="D68" s="39" t="inlineStr">
        <is>
          <t>对比你的实现与它的差距</t>
        </is>
      </c>
      <c r="E68" s="40" t="inlineStr">
        <is>
          <t>Claude Code 仓库</t>
        </is>
      </c>
      <c r="F68" s="41" t="inlineStr">
        <is>
          <t>—</t>
        </is>
      </c>
      <c r="G68" s="39" t="inlineStr">
        <is>
          <t>列 5 条「我该补的」并排序</t>
        </is>
      </c>
    </row>
    <row r="69" ht="40" customHeight="1">
      <c r="A69" s="61" t="n">
        <v>11</v>
      </c>
      <c r="B69" s="39" t="inlineStr">
        <is>
          <t>12/28–01/03</t>
        </is>
      </c>
      <c r="C69" s="62" t="inlineStr">
        <is>
          <t>周末</t>
        </is>
      </c>
      <c r="D69" s="39" t="inlineStr">
        <is>
          <t>实战：里程碑 M2：research-agent 交付（RAG + 搜索 + 引用…</t>
        </is>
      </c>
      <c r="E69" s="43" t="inlineStr">
        <is>
          <t>检索兜底：langgraph interrupt 人工确认；claude code 架构 分析</t>
        </is>
      </c>
      <c r="F69" s="63" t="inlineStr"/>
      <c r="G69" s="63" t="inlineStr"/>
    </row>
    <row r="70" ht="30" customHeight="1">
      <c r="A70" s="61" t="n">
        <v>12</v>
      </c>
      <c r="B70" s="39" t="inlineStr">
        <is>
          <t>01/04–01/10</t>
        </is>
      </c>
      <c r="C70" s="61" t="inlineStr">
        <is>
          <t>周一</t>
        </is>
      </c>
      <c r="D70" s="39" t="inlineStr">
        <is>
          <t>用 py-spy / cProfile 找热点</t>
        </is>
      </c>
      <c r="E70" s="40" t="inlineStr">
        <is>
          <t>py-spy</t>
        </is>
      </c>
      <c r="F70" s="41" t="inlineStr">
        <is>
          <t>—</t>
        </is>
      </c>
      <c r="G70" s="39" t="inlineStr">
        <is>
          <t>火焰图截图 + 3 个热点函数</t>
        </is>
      </c>
    </row>
    <row r="71" ht="30" customHeight="1">
      <c r="A71" s="61" t="n">
        <v>12</v>
      </c>
      <c r="B71" s="39" t="inlineStr">
        <is>
          <t>01/04–01/10</t>
        </is>
      </c>
      <c r="C71" s="61" t="inlineStr">
        <is>
          <t>周二</t>
        </is>
      </c>
      <c r="D71" s="39" t="inlineStr">
        <is>
          <t>Redis 缓存 LLM 响应：键设计与命中率</t>
        </is>
      </c>
      <c r="E71" s="40" t="inlineStr">
        <is>
          <t>redis-py</t>
        </is>
      </c>
      <c r="F71" s="41" t="inlineStr">
        <is>
          <t>—</t>
        </is>
      </c>
      <c r="G71" s="39" t="inlineStr">
        <is>
          <t>重复问题命中率 &gt; 40%</t>
        </is>
      </c>
    </row>
    <row r="72" ht="30" customHeight="1">
      <c r="A72" s="61" t="n">
        <v>12</v>
      </c>
      <c r="B72" s="39" t="inlineStr">
        <is>
          <t>01/04–01/10</t>
        </is>
      </c>
      <c r="C72" s="61" t="inlineStr">
        <is>
          <t>周三</t>
        </is>
      </c>
      <c r="D72" s="39" t="inlineStr">
        <is>
          <t>缓存 Embedding 与检索结果</t>
        </is>
      </c>
      <c r="E72" s="40" t="inlineStr">
        <is>
          <t>Langfuse 文档</t>
        </is>
      </c>
      <c r="F72" s="41" t="inlineStr">
        <is>
          <t>—</t>
        </is>
      </c>
      <c r="G72" s="39" t="inlineStr">
        <is>
          <t>首字节延迟下降并记录</t>
        </is>
      </c>
    </row>
    <row r="73" ht="30" customHeight="1">
      <c r="A73" s="61" t="n">
        <v>12</v>
      </c>
      <c r="B73" s="39" t="inlineStr">
        <is>
          <t>01/04–01/10</t>
        </is>
      </c>
      <c r="C73" s="61" t="inlineStr">
        <is>
          <t>周四</t>
        </is>
      </c>
      <c r="D73" s="39" t="inlineStr">
        <is>
          <t>异步化：把串行工具调用改成并发</t>
        </is>
      </c>
      <c r="E73" s="40" t="inlineStr">
        <is>
          <t>FastAPI 并发</t>
        </is>
      </c>
      <c r="F73" s="41" t="inlineStr">
        <is>
          <t>—</t>
        </is>
      </c>
      <c r="G73" s="39" t="inlineStr">
        <is>
          <t>3 个工具并发，P99 下降 50%</t>
        </is>
      </c>
    </row>
    <row r="74" ht="30" customHeight="1">
      <c r="A74" s="61" t="n">
        <v>12</v>
      </c>
      <c r="B74" s="39" t="inlineStr">
        <is>
          <t>01/04–01/10</t>
        </is>
      </c>
      <c r="C74" s="61" t="inlineStr">
        <is>
          <t>周五</t>
        </is>
      </c>
      <c r="D74" s="39" t="inlineStr">
        <is>
          <t>用 locust 压测，出基线数字</t>
        </is>
      </c>
      <c r="E74" s="40" t="inlineStr">
        <is>
          <t>Locust</t>
        </is>
      </c>
      <c r="F74" s="41" t="inlineStr">
        <is>
          <t>—</t>
        </is>
      </c>
      <c r="G74" s="39" t="inlineStr">
        <is>
          <t>QPS / P50 / P99 三张图</t>
        </is>
      </c>
    </row>
    <row r="75" ht="40" customHeight="1">
      <c r="A75" s="61" t="n">
        <v>12</v>
      </c>
      <c r="B75" s="39" t="inlineStr">
        <is>
          <t>01/04–01/10</t>
        </is>
      </c>
      <c r="C75" s="62" t="inlineStr">
        <is>
          <t>周末</t>
        </is>
      </c>
      <c r="D75" s="39" t="inlineStr">
        <is>
          <t>实战：输出「性能优化报告」：基线 → 改动 → 结果，每项改动都要有独立数字。</t>
        </is>
      </c>
      <c r="E75" s="43" t="inlineStr">
        <is>
          <t>检索兜底：llm 缓存 key 设计；asyncio gather 并发</t>
        </is>
      </c>
      <c r="F75" s="63" t="inlineStr"/>
      <c r="G75" s="63" t="inlineStr"/>
    </row>
    <row r="76" ht="30" customHeight="1">
      <c r="A76" s="61" t="n">
        <v>13</v>
      </c>
      <c r="B76" s="39" t="inlineStr">
        <is>
          <t>01/11–01/17</t>
        </is>
      </c>
      <c r="C76" s="61" t="inlineStr">
        <is>
          <t>周一</t>
        </is>
      </c>
      <c r="D76" s="39" t="inlineStr">
        <is>
          <t>算清一次请求的成本模型（输入/输出/缓存）</t>
        </is>
      </c>
      <c r="E76" s="40" t="inlineStr">
        <is>
          <t>LiteLLM 成本追踪</t>
        </is>
      </c>
      <c r="F76" s="41" t="inlineStr">
        <is>
          <t>—</t>
        </is>
      </c>
      <c r="G76" s="39" t="inlineStr">
        <is>
          <t>一张成本拆解表，精确到分</t>
        </is>
      </c>
    </row>
    <row r="77" ht="30" customHeight="1">
      <c r="A77" s="61" t="n">
        <v>13</v>
      </c>
      <c r="B77" s="39" t="inlineStr">
        <is>
          <t>01/11–01/17</t>
        </is>
      </c>
      <c r="C77" s="61" t="inlineStr">
        <is>
          <t>周二</t>
        </is>
      </c>
      <c r="D77" s="39" t="inlineStr">
        <is>
          <t>模型路由：什么任务该用便宜模型</t>
        </is>
      </c>
      <c r="E77" s="40" t="inlineStr">
        <is>
          <t>LiteLLM 路由</t>
        </is>
      </c>
      <c r="F77" s="41" t="inlineStr">
        <is>
          <t>—</t>
        </is>
      </c>
      <c r="G77" s="39" t="inlineStr">
        <is>
          <t>分流后成本下降且成功率不掉</t>
        </is>
      </c>
    </row>
    <row r="78" ht="30" customHeight="1">
      <c r="A78" s="61" t="n">
        <v>13</v>
      </c>
      <c r="B78" s="39" t="inlineStr">
        <is>
          <t>01/11–01/17</t>
        </is>
      </c>
      <c r="C78" s="61" t="inlineStr">
        <is>
          <t>周三</t>
        </is>
      </c>
      <c r="D78" s="39" t="inlineStr">
        <is>
          <t>批处理：embedding / rerank 的吞吐优化</t>
        </is>
      </c>
      <c r="E78" s="40" t="inlineStr">
        <is>
          <t>vLLM 文档</t>
        </is>
      </c>
      <c r="F78" s="41" t="inlineStr">
        <is>
          <t>—</t>
        </is>
      </c>
      <c r="G78" s="39" t="inlineStr">
        <is>
          <t>批大小 vs 吞吐曲线</t>
        </is>
      </c>
    </row>
    <row r="79" ht="30" customHeight="1">
      <c r="A79" s="61" t="n">
        <v>13</v>
      </c>
      <c r="B79" s="39" t="inlineStr">
        <is>
          <t>01/11–01/17</t>
        </is>
      </c>
      <c r="C79" s="61" t="inlineStr">
        <is>
          <t>周四</t>
        </is>
      </c>
      <c r="D79" s="39" t="inlineStr">
        <is>
          <t>vLLM 部署开源小模型</t>
        </is>
      </c>
      <c r="E79" s="40" t="inlineStr">
        <is>
          <t>vLLM 快速开始</t>
        </is>
      </c>
      <c r="F79" s="41" t="inlineStr">
        <is>
          <t>—</t>
        </is>
      </c>
      <c r="G79" s="39" t="inlineStr">
        <is>
          <t>本地起 OpenAI 兼容接口并压一次</t>
        </is>
      </c>
    </row>
    <row r="80" ht="30" customHeight="1">
      <c r="A80" s="61" t="n">
        <v>13</v>
      </c>
      <c r="B80" s="39" t="inlineStr">
        <is>
          <t>01/11–01/17</t>
        </is>
      </c>
      <c r="C80" s="61" t="inlineStr">
        <is>
          <t>周五</t>
        </is>
      </c>
      <c r="D80" s="39" t="inlineStr">
        <is>
          <t>写成本报告：降本手段与副作用</t>
        </is>
      </c>
      <c r="E80" s="40" t="inlineStr">
        <is>
          <t>LiteLLM 文档</t>
        </is>
      </c>
      <c r="F80" s="41" t="inlineStr">
        <is>
          <t>—</t>
        </is>
      </c>
      <c r="G80" s="39" t="inlineStr">
        <is>
          <t>单请求成本 X→Y，质量对比</t>
        </is>
      </c>
    </row>
    <row r="81" ht="40" customHeight="1">
      <c r="A81" s="61" t="n">
        <v>13</v>
      </c>
      <c r="B81" s="39" t="inlineStr">
        <is>
          <t>01/11–01/17</t>
        </is>
      </c>
      <c r="C81" s="62" t="inlineStr">
        <is>
          <t>周末</t>
        </is>
      </c>
      <c r="D81" s="39" t="inlineStr">
        <is>
          <t>实战：把模型路由 + 缓存 + 批处理组合上线，出一份「降本 50% 现象与代价」…</t>
        </is>
      </c>
      <c r="E81" s="43" t="inlineStr">
        <is>
          <t>检索兜底：vllm openai 兼容 部署；llm 成本 优化</t>
        </is>
      </c>
      <c r="F81" s="63" t="inlineStr"/>
      <c r="G81" s="63" t="inlineStr"/>
    </row>
    <row r="82" ht="30" customHeight="1">
      <c r="A82" s="61" t="n">
        <v>14</v>
      </c>
      <c r="B82" s="39" t="inlineStr">
        <is>
          <t>01/18–01/24</t>
        </is>
      </c>
      <c r="C82" s="61" t="inlineStr">
        <is>
          <t>周一</t>
        </is>
      </c>
      <c r="D82" s="39" t="inlineStr">
        <is>
          <t>Trace 与 Span：Agent 的调用链长什么样</t>
        </is>
      </c>
      <c r="E82" s="40" t="inlineStr">
        <is>
          <t>OpenTelemetry Python</t>
        </is>
      </c>
      <c r="F82" s="41" t="inlineStr">
        <is>
          <t>—</t>
        </is>
      </c>
      <c r="G82" s="39" t="inlineStr">
        <is>
          <t>一次请求打出 6 个 span 的树</t>
        </is>
      </c>
    </row>
    <row r="83" ht="30" customHeight="1">
      <c r="A83" s="61" t="n">
        <v>14</v>
      </c>
      <c r="B83" s="39" t="inlineStr">
        <is>
          <t>01/18–01/24</t>
        </is>
      </c>
      <c r="C83" s="61" t="inlineStr">
        <is>
          <t>周二</t>
        </is>
      </c>
      <c r="D83" s="39" t="inlineStr">
        <is>
          <t>Langfuse 接入：每条 trace 可回看</t>
        </is>
      </c>
      <c r="E83" s="40" t="inlineStr">
        <is>
          <t>Langfuse 文档</t>
        </is>
      </c>
      <c r="F83" s="41" t="inlineStr">
        <is>
          <t>—</t>
        </is>
      </c>
      <c r="G83" s="39" t="inlineStr">
        <is>
          <t>能看到每步的 token 与耗时</t>
        </is>
      </c>
    </row>
    <row r="84" ht="30" customHeight="1">
      <c r="A84" s="61" t="n">
        <v>14</v>
      </c>
      <c r="B84" s="39" t="inlineStr">
        <is>
          <t>01/18–01/24</t>
        </is>
      </c>
      <c r="C84" s="61" t="inlineStr">
        <is>
          <t>周三</t>
        </is>
      </c>
      <c r="D84" s="39" t="inlineStr">
        <is>
          <t>自定义指标：工具失败率、缓存命中率</t>
        </is>
      </c>
      <c r="E84" s="40" t="inlineStr">
        <is>
          <t>Prometheus Client</t>
        </is>
      </c>
      <c r="F84" s="41" t="inlineStr">
        <is>
          <t>—</t>
        </is>
      </c>
      <c r="G84" s="39" t="inlineStr">
        <is>
          <t>3 个业务指标暴露到 /metrics</t>
        </is>
      </c>
    </row>
    <row r="85" ht="30" customHeight="1">
      <c r="A85" s="61" t="n">
        <v>14</v>
      </c>
      <c r="B85" s="39" t="inlineStr">
        <is>
          <t>01/18–01/24</t>
        </is>
      </c>
      <c r="C85" s="61" t="inlineStr">
        <is>
          <t>周四</t>
        </is>
      </c>
      <c r="D85" s="39" t="inlineStr">
        <is>
          <t>Grafana 大盘：4 个必须有的图</t>
        </is>
      </c>
      <c r="E85" s="40" t="inlineStr">
        <is>
          <t>Grafana 文档</t>
        </is>
      </c>
      <c r="F85" s="41" t="inlineStr">
        <is>
          <t>—</t>
        </is>
      </c>
      <c r="G85" s="39" t="inlineStr">
        <is>
          <t>大盘截图写进 README</t>
        </is>
      </c>
    </row>
    <row r="86" ht="30" customHeight="1">
      <c r="A86" s="61" t="n">
        <v>14</v>
      </c>
      <c r="B86" s="39" t="inlineStr">
        <is>
          <t>01/18–01/24</t>
        </is>
      </c>
      <c r="C86" s="61" t="inlineStr">
        <is>
          <t>周五</t>
        </is>
      </c>
      <c r="D86" s="39" t="inlineStr">
        <is>
          <t>告警规则：什么情况算异常</t>
        </is>
      </c>
      <c r="E86" s="40" t="inlineStr">
        <is>
          <t>Prometheus 告警</t>
        </is>
      </c>
      <c r="F86" s="41" t="inlineStr">
        <is>
          <t>—</t>
        </is>
      </c>
      <c r="G86" s="39" t="inlineStr">
        <is>
          <t>2 条告警规则 + 触发验证</t>
        </is>
      </c>
    </row>
    <row r="87" ht="40" customHeight="1">
      <c r="A87" s="61" t="n">
        <v>14</v>
      </c>
      <c r="B87" s="39" t="inlineStr">
        <is>
          <t>01/18–01/24</t>
        </is>
      </c>
      <c r="C87" s="62" t="inlineStr">
        <is>
          <t>周末</t>
        </is>
      </c>
      <c r="D87" s="39" t="inlineStr">
        <is>
          <t>实战：把 trace 和指标接进研究助手，故意制造一次超时，用 trace 定位到…</t>
        </is>
      </c>
      <c r="E87" s="43" t="inlineStr">
        <is>
          <t>检索兜底：langfuse 自建 docker；prometheus fastapi 指标</t>
        </is>
      </c>
      <c r="F87" s="63" t="inlineStr"/>
      <c r="G87" s="63" t="inlineStr"/>
    </row>
    <row r="88" ht="30" customHeight="1">
      <c r="A88" s="61" t="n">
        <v>15</v>
      </c>
      <c r="B88" s="39" t="inlineStr">
        <is>
          <t>01/25–01/31</t>
        </is>
      </c>
      <c r="C88" s="61" t="inlineStr">
        <is>
          <t>周一</t>
        </is>
      </c>
      <c r="D88" s="39" t="inlineStr">
        <is>
          <t>Docker Compose 编排全栈 + 健康检查</t>
        </is>
      </c>
      <c r="E88" s="40" t="inlineStr">
        <is>
          <t>Compose 文档</t>
        </is>
      </c>
      <c r="F88" s="41" t="inlineStr">
        <is>
          <t>—</t>
        </is>
      </c>
      <c r="G88" s="39" t="inlineStr">
        <is>
          <t>`compose up` 一条命令起 4 个服务</t>
        </is>
      </c>
    </row>
    <row r="89" ht="30" customHeight="1">
      <c r="A89" s="61" t="n">
        <v>15</v>
      </c>
      <c r="B89" s="39" t="inlineStr">
        <is>
          <t>01/25–01/31</t>
        </is>
      </c>
      <c r="C89" s="61" t="inlineStr">
        <is>
          <t>周二</t>
        </is>
      </c>
      <c r="D89" s="39" t="inlineStr">
        <is>
          <t>GitHub Actions：PR 上自动跑 pytest</t>
        </is>
      </c>
      <c r="E89" s="40" t="inlineStr">
        <is>
          <t>Actions + Python</t>
        </is>
      </c>
      <c r="F89" s="41" t="inlineStr">
        <is>
          <t>—</t>
        </is>
      </c>
      <c r="G89" s="39" t="inlineStr">
        <is>
          <t>PR 红灯能拦住合并</t>
        </is>
      </c>
    </row>
    <row r="90" ht="30" customHeight="1">
      <c r="A90" s="61" t="n">
        <v>15</v>
      </c>
      <c r="B90" s="39" t="inlineStr">
        <is>
          <t>01/25–01/31</t>
        </is>
      </c>
      <c r="C90" s="61" t="inlineStr">
        <is>
          <t>周三</t>
        </is>
      </c>
      <c r="D90" s="39" t="inlineStr">
        <is>
          <t>CI 里跑评测：通过率低于阈值就失败</t>
        </is>
      </c>
      <c r="E90" s="40" t="inlineStr">
        <is>
          <t>Actions 缓存</t>
        </is>
      </c>
      <c r="F90" s="41" t="inlineStr">
        <is>
          <t>—</t>
        </is>
      </c>
      <c r="G90" s="39" t="inlineStr">
        <is>
          <t>eval 任务 5 分钟内跑完</t>
        </is>
      </c>
    </row>
    <row r="91" ht="30" customHeight="1">
      <c r="A91" s="61" t="n">
        <v>15</v>
      </c>
      <c r="B91" s="39" t="inlineStr">
        <is>
          <t>01/25–01/31</t>
        </is>
      </c>
      <c r="C91" s="61" t="inlineStr">
        <is>
          <t>周四</t>
        </is>
      </c>
      <c r="D91" s="39" t="inlineStr">
        <is>
          <t>故障注入清单：杀掉 Milvus / 限流 / 超时 / 脏数据</t>
        </is>
      </c>
      <c r="E91" s="40" t="inlineStr">
        <is>
          <t>Chaos 工程实践</t>
        </is>
      </c>
      <c r="F91" s="41" t="inlineStr">
        <is>
          <t>—</t>
        </is>
      </c>
      <c r="G91" s="39" t="inlineStr">
        <is>
          <t>4 个故障各有预期行为</t>
        </is>
      </c>
    </row>
    <row r="92" ht="30" customHeight="1">
      <c r="A92" s="61" t="n">
        <v>15</v>
      </c>
      <c r="B92" s="39" t="inlineStr">
        <is>
          <t>01/25–01/31</t>
        </is>
      </c>
      <c r="C92" s="61" t="inlineStr">
        <is>
          <t>周五</t>
        </is>
      </c>
      <c r="D92" s="39" t="inlineStr">
        <is>
          <t>演练并写报告：现象、定位、修复</t>
        </is>
      </c>
      <c r="E92" s="40" t="inlineStr">
        <is>
          <t>SRE 手册：Postmortem</t>
        </is>
      </c>
      <c r="F92" s="41" t="inlineStr">
        <is>
          <t>—</t>
        </is>
      </c>
      <c r="G92" s="39" t="inlineStr">
        <is>
          <t>一份能直接贴进简历的故障报告</t>
        </is>
      </c>
    </row>
    <row r="93" ht="40" customHeight="1">
      <c r="A93" s="61" t="n">
        <v>15</v>
      </c>
      <c r="B93" s="39" t="inlineStr">
        <is>
          <t>01/25–01/31</t>
        </is>
      </c>
      <c r="C93" s="62" t="inlineStr">
        <is>
          <t>周末</t>
        </is>
      </c>
      <c r="D93" s="39" t="inlineStr">
        <is>
          <t>实战：里程碑 M3：一键部署 + 压测报告 + 故障演练报告，三件套齐。</t>
        </is>
      </c>
      <c r="E93" s="43" t="inlineStr">
        <is>
          <t>检索兜底：docker compose healthcheck depends_on；github actions 缓存</t>
        </is>
      </c>
      <c r="F93" s="63" t="inlineStr"/>
      <c r="G93" s="63" t="inlineStr"/>
    </row>
    <row r="94" ht="30" customHeight="1">
      <c r="A94" s="61" t="n">
        <v>16</v>
      </c>
      <c r="B94" s="39" t="inlineStr">
        <is>
          <t>02/01–02/07</t>
        </is>
      </c>
      <c r="C94" s="61" t="inlineStr">
        <is>
          <t>周一</t>
        </is>
      </c>
      <c r="D94" s="39" t="inlineStr">
        <is>
          <t>补最欠的那一件交付</t>
        </is>
      </c>
      <c r="E94" s="45" t="inlineStr">
        <is>
          <t>—（无需材料）</t>
        </is>
      </c>
      <c r="F94" s="41" t="inlineStr">
        <is>
          <t>—</t>
        </is>
      </c>
      <c r="G94" s="39" t="inlineStr">
        <is>
          <t>把某个半成品补到「能跑」</t>
        </is>
      </c>
    </row>
    <row r="95" ht="30" customHeight="1">
      <c r="A95" s="61" t="n">
        <v>16</v>
      </c>
      <c r="B95" s="39" t="inlineStr">
        <is>
          <t>02/01–02/07</t>
        </is>
      </c>
      <c r="C95" s="61" t="inlineStr">
        <is>
          <t>周二</t>
        </is>
      </c>
      <c r="D95" s="39" t="inlineStr">
        <is>
          <t>回看 4 个仓库的 README，按「别人能跑」标准改</t>
        </is>
      </c>
      <c r="E95" s="40" t="inlineStr">
        <is>
          <t>Make a README</t>
        </is>
      </c>
      <c r="F95" s="41" t="inlineStr">
        <is>
          <t>—</t>
        </is>
      </c>
      <c r="G95" s="39" t="inlineStr">
        <is>
          <t>每条命令都能复制执行</t>
        </is>
      </c>
    </row>
    <row r="96" ht="30" customHeight="1">
      <c r="A96" s="61" t="n">
        <v>16</v>
      </c>
      <c r="B96" s="39" t="inlineStr">
        <is>
          <t>02/01–02/07</t>
        </is>
      </c>
      <c r="C96" s="61" t="inlineStr">
        <is>
          <t>周三</t>
        </is>
      </c>
      <c r="D96" s="39" t="inlineStr">
        <is>
          <t>读一篇评测或上下文的长文</t>
        </is>
      </c>
      <c r="E96" s="40" t="inlineStr">
        <is>
          <t>Anthropic Engineering</t>
        </is>
      </c>
      <c r="F96" s="41" t="inlineStr">
        <is>
          <t>—</t>
        </is>
      </c>
      <c r="G96" s="39" t="inlineStr">
        <is>
          <t>3 条能用到自己项目里的点</t>
        </is>
      </c>
    </row>
    <row r="97" ht="30" customHeight="1">
      <c r="A97" s="61" t="n">
        <v>16</v>
      </c>
      <c r="B97" s="39" t="inlineStr">
        <is>
          <t>02/01–02/07</t>
        </is>
      </c>
      <c r="C97" s="61" t="inlineStr">
        <is>
          <t>周四</t>
        </is>
      </c>
      <c r="D97" s="39" t="inlineStr">
        <is>
          <t>整理前三阶段的指标数字成一张总表</t>
        </is>
      </c>
      <c r="E97" s="45" t="inlineStr">
        <is>
          <t>—（无需材料）</t>
        </is>
      </c>
      <c r="F97" s="41" t="inlineStr">
        <is>
          <t>—</t>
        </is>
      </c>
      <c r="G97" s="39" t="inlineStr">
        <is>
          <t>QPS / P99 / 成本 / 成功率 四个数有出处</t>
        </is>
      </c>
    </row>
    <row r="98" ht="30" customHeight="1">
      <c r="A98" s="61" t="n">
        <v>16</v>
      </c>
      <c r="B98" s="39" t="inlineStr">
        <is>
          <t>02/01–02/07</t>
        </is>
      </c>
      <c r="C98" s="61" t="inlineStr">
        <is>
          <t>周五</t>
        </is>
      </c>
      <c r="D98" s="39" t="inlineStr">
        <is>
          <t>发一篇阶段复盘（哪怕只有 800 字）</t>
        </is>
      </c>
      <c r="E98" s="45" t="inlineStr">
        <is>
          <t>—（无需材料）</t>
        </is>
      </c>
      <c r="F98" s="41" t="inlineStr">
        <is>
          <t>—</t>
        </is>
      </c>
      <c r="G98" s="39" t="inlineStr">
        <is>
          <t>公开链接 + 自评 1-5 分</t>
        </is>
      </c>
    </row>
    <row r="99" ht="40" customHeight="1">
      <c r="A99" s="61" t="n">
        <v>16</v>
      </c>
      <c r="B99" s="39" t="inlineStr">
        <is>
          <t>02/01–02/07</t>
        </is>
      </c>
      <c r="C99" s="62" t="inlineStr">
        <is>
          <t>周末</t>
        </is>
      </c>
      <c r="D99" s="39" t="inlineStr">
        <is>
          <t>实战：复盘笔记：前半程最大的 3 个坑、后半程要砍的一件事。没欠账就把 W17 的…</t>
        </is>
      </c>
      <c r="E99" s="43" t="inlineStr">
        <is>
          <t>检索兜底：agent 项目 复盘 blog 结构</t>
        </is>
      </c>
      <c r="F99" s="63" t="inlineStr"/>
      <c r="G99" s="63" t="inlineStr"/>
    </row>
    <row r="100" ht="30" customHeight="1">
      <c r="A100" s="61" t="n">
        <v>17</v>
      </c>
      <c r="B100" s="39" t="inlineStr">
        <is>
          <t>02/08–02/14</t>
        </is>
      </c>
      <c r="C100" s="61" t="inlineStr">
        <is>
          <t>周一</t>
        </is>
      </c>
      <c r="D100" s="39" t="inlineStr">
        <is>
          <t>评测框架长什么样：dataset / solver / scorer</t>
        </is>
      </c>
      <c r="E100" s="40" t="inlineStr">
        <is>
          <t>Inspect AI</t>
        </is>
      </c>
      <c r="F100" s="41" t="inlineStr">
        <is>
          <t>—</t>
        </is>
      </c>
      <c r="G100" s="39" t="inlineStr">
        <is>
          <t>跑通官方 hello world，看懂日志查看器</t>
        </is>
      </c>
    </row>
    <row r="101" ht="30" customHeight="1">
      <c r="A101" s="61" t="n">
        <v>17</v>
      </c>
      <c r="B101" s="39" t="inlineStr">
        <is>
          <t>02/08–02/14</t>
        </is>
      </c>
      <c r="C101" s="61" t="inlineStr">
        <is>
          <t>周二</t>
        </is>
      </c>
      <c r="D101" s="39" t="inlineStr">
        <is>
          <t>LLM-as-judge 的偏差：位置、长度、自偏好</t>
        </is>
      </c>
      <c r="E101" s="40" t="inlineStr">
        <is>
          <t>Judging LLM-as-a-Judge</t>
        </is>
      </c>
      <c r="F101" s="41" t="inlineStr">
        <is>
          <t>—</t>
        </is>
      </c>
      <c r="G101" s="39" t="inlineStr">
        <is>
          <t>列出 3 类偏差及你的规避手段</t>
        </is>
      </c>
    </row>
    <row r="102" ht="30" customHeight="1">
      <c r="A102" s="61" t="n">
        <v>17</v>
      </c>
      <c r="B102" s="39" t="inlineStr">
        <is>
          <t>02/08–02/14</t>
        </is>
      </c>
      <c r="C102" s="61" t="inlineStr">
        <is>
          <t>周三</t>
        </is>
      </c>
      <c r="D102" s="39" t="inlineStr">
        <is>
          <t>任务级评测：τ-bench 怎么定义「任务完成」</t>
        </is>
      </c>
      <c r="E102" s="40" t="inlineStr">
        <is>
          <t>τ-bench</t>
        </is>
      </c>
      <c r="F102" s="41" t="inlineStr">
        <is>
          <t>—</t>
        </is>
      </c>
      <c r="G102" s="39" t="inlineStr">
        <is>
          <t>把「完成」写成可判定的规则</t>
        </is>
      </c>
    </row>
    <row r="103" ht="30" customHeight="1">
      <c r="A103" s="61" t="n">
        <v>17</v>
      </c>
      <c r="B103" s="39" t="inlineStr">
        <is>
          <t>02/08–02/14</t>
        </is>
      </c>
      <c r="C103" s="61" t="inlineStr">
        <is>
          <t>周四</t>
        </is>
      </c>
      <c r="D103" s="39" t="inlineStr">
        <is>
          <t>建 50 条任务集：难度分层 + 期望结果</t>
        </is>
      </c>
      <c r="E103" s="40" t="inlineStr">
        <is>
          <t>Inspect 数据集</t>
        </is>
      </c>
      <c r="F103" s="41" t="inlineStr">
        <is>
          <t>—</t>
        </is>
      </c>
      <c r="G103" s="39" t="inlineStr">
        <is>
          <t>50 条覆盖 5 类任务，标注判定方式</t>
        </is>
      </c>
    </row>
    <row r="104" ht="30" customHeight="1">
      <c r="A104" s="61" t="n">
        <v>17</v>
      </c>
      <c r="B104" s="39" t="inlineStr">
        <is>
          <t>02/08–02/14</t>
        </is>
      </c>
      <c r="C104" s="61" t="inlineStr">
        <is>
          <t>周五</t>
        </is>
      </c>
      <c r="D104" s="39" t="inlineStr">
        <is>
          <t>rubric 设计：把主观判断写成 4 档</t>
        </is>
      </c>
      <c r="E104" s="40" t="inlineStr">
        <is>
          <t>RAGAs rubric 评分</t>
        </is>
      </c>
      <c r="F104" s="41" t="inlineStr">
        <is>
          <t>—</t>
        </is>
      </c>
      <c r="G104" s="39" t="inlineStr">
        <is>
          <t>同一答案两人打分差异 ≤1 档</t>
        </is>
      </c>
    </row>
    <row r="105" ht="40" customHeight="1">
      <c r="A105" s="61" t="n">
        <v>17</v>
      </c>
      <c r="B105" s="39" t="inlineStr">
        <is>
          <t>02/08–02/14</t>
        </is>
      </c>
      <c r="C105" s="62" t="inlineStr">
        <is>
          <t>周末</t>
        </is>
      </c>
      <c r="D105" s="39" t="inlineStr">
        <is>
          <t>实战：产出「评测集 v1 + 评分规范」：50 条任务、5 类、4 档 rubri…</t>
        </is>
      </c>
      <c r="E105" s="43" t="inlineStr">
        <is>
          <t>检索兜底：llm as judge 一致性 kappa；agent benchmark 设计</t>
        </is>
      </c>
      <c r="F105" s="63" t="inlineStr"/>
      <c r="G105" s="63" t="inlineStr"/>
    </row>
    <row r="106" ht="30" customHeight="1">
      <c r="A106" s="61" t="n">
        <v>18</v>
      </c>
      <c r="B106" s="39" t="inlineStr">
        <is>
          <t>02/15–02/21</t>
        </is>
      </c>
      <c r="C106" s="61" t="inlineStr">
        <is>
          <t>周一</t>
        </is>
      </c>
      <c r="D106" s="39" t="inlineStr">
        <is>
          <t>promptfoo：YAML 写用例、断言式评测</t>
        </is>
      </c>
      <c r="E106" s="40" t="inlineStr">
        <is>
          <t>promptfoo 文档</t>
        </is>
      </c>
      <c r="F106" s="41" t="inlineStr">
        <is>
          <t>—</t>
        </is>
      </c>
      <c r="G106" s="39" t="inlineStr">
        <is>
          <t>5 条 YAML 用例跑出通过率</t>
        </is>
      </c>
    </row>
    <row r="107" ht="30" customHeight="1">
      <c r="A107" s="61" t="n">
        <v>18</v>
      </c>
      <c r="B107" s="39" t="inlineStr">
        <is>
          <t>02/15–02/21</t>
        </is>
      </c>
      <c r="C107" s="61" t="inlineStr">
        <is>
          <t>周二</t>
        </is>
      </c>
      <c r="D107" s="39" t="inlineStr">
        <is>
          <t>DeepEval：pytest 风格的断言</t>
        </is>
      </c>
      <c r="E107" s="40" t="inlineStr">
        <is>
          <t>DeepEval</t>
        </is>
      </c>
      <c r="F107" s="41" t="inlineStr">
        <is>
          <t>—</t>
        </is>
      </c>
      <c r="G107" s="39" t="inlineStr">
        <is>
          <t>把评测写成 pytest 用例</t>
        </is>
      </c>
    </row>
    <row r="108" ht="30" customHeight="1">
      <c r="A108" s="61" t="n">
        <v>18</v>
      </c>
      <c r="B108" s="39" t="inlineStr">
        <is>
          <t>02/15–02/21</t>
        </is>
      </c>
      <c r="C108" s="61" t="inlineStr">
        <is>
          <t>周三</t>
        </is>
      </c>
      <c r="D108" s="39" t="inlineStr">
        <is>
          <t>并发跑批、重试、结果落库</t>
        </is>
      </c>
      <c r="E108" s="40" t="inlineStr">
        <is>
          <t>Inspect 并行执行</t>
        </is>
      </c>
      <c r="F108" s="41" t="inlineStr">
        <is>
          <t>—</t>
        </is>
      </c>
      <c r="G108" s="39" t="inlineStr">
        <is>
          <t>100 条任务 3 分钟内跑完</t>
        </is>
      </c>
    </row>
    <row r="109" ht="30" customHeight="1">
      <c r="A109" s="61" t="n">
        <v>18</v>
      </c>
      <c r="B109" s="39" t="inlineStr">
        <is>
          <t>02/15–02/21</t>
        </is>
      </c>
      <c r="C109" s="61" t="inlineStr">
        <is>
          <t>周四</t>
        </is>
      </c>
      <c r="D109" s="39" t="inlineStr">
        <is>
          <t>失败自动分类：6 类归因规则</t>
        </is>
      </c>
      <c r="E109" s="40" t="inlineStr">
        <is>
          <t>Inspect 分析</t>
        </is>
      </c>
      <c r="F109" s="41" t="inlineStr">
        <is>
          <t>—</t>
        </is>
      </c>
      <c r="G109" s="39" t="inlineStr">
        <is>
          <t>80% 的失败能被自动打上标签</t>
        </is>
      </c>
    </row>
    <row r="110" ht="30" customHeight="1">
      <c r="A110" s="61" t="n">
        <v>18</v>
      </c>
      <c r="B110" s="39" t="inlineStr">
        <is>
          <t>02/15–02/21</t>
        </is>
      </c>
      <c r="C110" s="61" t="inlineStr">
        <is>
          <t>周五</t>
        </is>
      </c>
      <c r="D110" s="39" t="inlineStr">
        <is>
          <t>稳定性：同一集跑 3 次看方差</t>
        </is>
      </c>
      <c r="E110" s="40" t="inlineStr">
        <is>
          <t>Inspect 日志</t>
        </is>
      </c>
      <c r="F110" s="41" t="inlineStr">
        <is>
          <t>—</t>
        </is>
      </c>
      <c r="G110" s="39" t="inlineStr">
        <is>
          <t>报告方差，区分「真提升」与「随机波动」</t>
        </is>
      </c>
    </row>
    <row r="111" ht="40" customHeight="1">
      <c r="A111" s="61" t="n">
        <v>18</v>
      </c>
      <c r="B111" s="39" t="inlineStr">
        <is>
          <t>02/15–02/21</t>
        </is>
      </c>
      <c r="C111" s="62" t="inlineStr">
        <is>
          <t>周末</t>
        </is>
      </c>
      <c r="D111" s="39" t="inlineStr">
        <is>
          <t>实战：里程碑 M4：`agent-eval-harness` v0.1 上 Git…</t>
        </is>
      </c>
      <c r="E111" s="43" t="inlineStr">
        <is>
          <t>检索兜底：promptfoo 断言；agent eval 失败归因</t>
        </is>
      </c>
      <c r="F111" s="63" t="inlineStr"/>
      <c r="G111" s="63" t="inlineStr"/>
    </row>
    <row r="112" ht="30" customHeight="1">
      <c r="A112" s="61" t="n">
        <v>19</v>
      </c>
      <c r="B112" s="39" t="inlineStr">
        <is>
          <t>02/22–02/28</t>
        </is>
      </c>
      <c r="C112" s="61" t="inlineStr">
        <is>
          <t>周一</t>
        </is>
      </c>
      <c r="D112" s="39" t="inlineStr">
        <is>
          <t>Anthropic 的多 Agent 研究系统：收益与代价</t>
        </is>
      </c>
      <c r="E112" s="40" t="inlineStr">
        <is>
          <t>Multi-agent research system</t>
        </is>
      </c>
      <c r="F112" s="41" t="inlineStr">
        <is>
          <t>—</t>
        </is>
      </c>
      <c r="G112" s="39" t="inlineStr">
        <is>
          <t>列出 3 个它踩过的坑</t>
        </is>
      </c>
    </row>
    <row r="113" ht="30" customHeight="1">
      <c r="A113" s="61" t="n">
        <v>19</v>
      </c>
      <c r="B113" s="39" t="inlineStr">
        <is>
          <t>02/22–02/28</t>
        </is>
      </c>
      <c r="C113" s="61" t="inlineStr">
        <is>
          <t>周二</t>
        </is>
      </c>
      <c r="D113" s="39" t="inlineStr">
        <is>
          <t>AutoGen：对话式协作的抽象</t>
        </is>
      </c>
      <c r="E113" s="40" t="inlineStr">
        <is>
          <t>AutoGen</t>
        </is>
      </c>
      <c r="F113" s="41" t="inlineStr">
        <is>
          <t>—</t>
        </is>
      </c>
      <c r="G113" s="39" t="inlineStr">
        <is>
          <t>跑通 GroupChat 官方示例</t>
        </is>
      </c>
    </row>
    <row r="114" ht="30" customHeight="1">
      <c r="A114" s="61" t="n">
        <v>19</v>
      </c>
      <c r="B114" s="39" t="inlineStr">
        <is>
          <t>02/22–02/28</t>
        </is>
      </c>
      <c r="C114" s="61" t="inlineStr">
        <is>
          <t>周三</t>
        </is>
      </c>
      <c r="D114" s="39" t="inlineStr">
        <is>
          <t>CrewAI：角色 + 任务 + 流程</t>
        </is>
      </c>
      <c r="E114" s="40" t="inlineStr">
        <is>
          <t>CrewAI</t>
        </is>
      </c>
      <c r="F114" s="41" t="inlineStr">
        <is>
          <t>—</t>
        </is>
      </c>
      <c r="G114" s="39" t="inlineStr">
        <is>
          <t>跑通一个 3 角色的顺序流程</t>
        </is>
      </c>
    </row>
    <row r="115" ht="30" customHeight="1">
      <c r="A115" s="61" t="n">
        <v>19</v>
      </c>
      <c r="B115" s="39" t="inlineStr">
        <is>
          <t>02/22–02/28</t>
        </is>
      </c>
      <c r="C115" s="61" t="inlineStr">
        <is>
          <t>周四</t>
        </is>
      </c>
      <c r="D115" s="39" t="inlineStr">
        <is>
          <t>判断标准：什么时候单 Agent 更好</t>
        </is>
      </c>
      <c r="E115" s="40" t="inlineStr">
        <is>
          <t>Building effective agents</t>
        </is>
      </c>
      <c r="F115" s="41" t="inlineStr">
        <is>
          <t>—</t>
        </is>
      </c>
      <c r="G115" s="39" t="inlineStr">
        <is>
          <t>写出你的「不用多 Agent」判据 4 条</t>
        </is>
      </c>
    </row>
    <row r="116" ht="30" customHeight="1">
      <c r="A116" s="61" t="n">
        <v>19</v>
      </c>
      <c r="B116" s="39" t="inlineStr">
        <is>
          <t>02/22–02/28</t>
        </is>
      </c>
      <c r="C116" s="61" t="inlineStr">
        <is>
          <t>周五</t>
        </is>
      </c>
      <c r="D116" s="39" t="inlineStr">
        <is>
          <t>planner → executor → reviewer 最小实现</t>
        </is>
      </c>
      <c r="E116" s="40" t="inlineStr">
        <is>
          <t>LangGraph 子图</t>
        </is>
      </c>
      <c r="F116" s="41" t="inlineStr">
        <is>
          <t>—</t>
        </is>
      </c>
      <c r="G116" s="39" t="inlineStr">
        <is>
          <t>三个角色的输入输出 schema 定死</t>
        </is>
      </c>
    </row>
    <row r="117" ht="40" customHeight="1">
      <c r="A117" s="61" t="n">
        <v>19</v>
      </c>
      <c r="B117" s="39" t="inlineStr">
        <is>
          <t>02/22–02/28</t>
        </is>
      </c>
      <c r="C117" s="62" t="inlineStr">
        <is>
          <t>周末</t>
        </is>
      </c>
      <c r="D117" s="39" t="inlineStr">
        <is>
          <t>实战：一个小系统 + 一页决策笔记：什么条件下我会用多 Agent，什么条件下坚决…</t>
        </is>
      </c>
      <c r="E117" s="43" t="inlineStr">
        <is>
          <t>检索兜底：multi agent 上下文隔离；crewai vs autogen 对比</t>
        </is>
      </c>
      <c r="F117" s="63" t="inlineStr"/>
      <c r="G117" s="63" t="inlineStr"/>
    </row>
    <row r="118" ht="30" customHeight="1">
      <c r="A118" s="61" t="n">
        <v>20</v>
      </c>
      <c r="B118" s="39" t="inlineStr">
        <is>
          <t>03/01–03/07</t>
        </is>
      </c>
      <c r="C118" s="61" t="inlineStr">
        <is>
          <t>周一</t>
        </is>
      </c>
      <c r="D118" s="39" t="inlineStr">
        <is>
          <t>选场景：一个角色、一个高频任务、一个成功标准</t>
        </is>
      </c>
      <c r="E118" s="40" t="inlineStr">
        <is>
          <t>Building effective agents</t>
        </is>
      </c>
      <c r="F118" s="41" t="inlineStr">
        <is>
          <t>—</t>
        </is>
      </c>
      <c r="G118" s="39" t="inlineStr">
        <is>
          <t>一句话说清「谁的什么任务，从几小时到几分钟」</t>
        </is>
      </c>
    </row>
    <row r="119" ht="30" customHeight="1">
      <c r="A119" s="61" t="n">
        <v>20</v>
      </c>
      <c r="B119" s="39" t="inlineStr">
        <is>
          <t>03/01–03/07</t>
        </is>
      </c>
      <c r="C119" s="61" t="inlineStr">
        <is>
          <t>周二</t>
        </is>
      </c>
      <c r="D119" s="39" t="inlineStr">
        <is>
          <t>写 20 条验收用例（此时还没有代码）</t>
        </is>
      </c>
      <c r="E119" s="40" t="inlineStr">
        <is>
          <t>Inspect 任务定义</t>
        </is>
      </c>
      <c r="F119" s="41" t="inlineStr">
        <is>
          <t>—</t>
        </is>
      </c>
      <c r="G119" s="39" t="inlineStr">
        <is>
          <t>20 条用例可执行、可判定</t>
        </is>
      </c>
    </row>
    <row r="120" ht="30" customHeight="1">
      <c r="A120" s="61" t="n">
        <v>20</v>
      </c>
      <c r="B120" s="39" t="inlineStr">
        <is>
          <t>03/01–03/07</t>
        </is>
      </c>
      <c r="C120" s="61" t="inlineStr">
        <is>
          <t>周三</t>
        </is>
      </c>
      <c r="D120" s="39" t="inlineStr">
        <is>
          <t>架构：loop、工具集、上下文分层、权限</t>
        </is>
      </c>
      <c r="E120" s="40" t="inlineStr">
        <is>
          <t>上下文工程</t>
        </is>
      </c>
      <c r="F120" s="41" t="inlineStr">
        <is>
          <t>—</t>
        </is>
      </c>
      <c r="G120" s="39" t="inlineStr">
        <is>
          <t>一张架构图，标清失败点</t>
        </is>
      </c>
    </row>
    <row r="121" ht="30" customHeight="1">
      <c r="A121" s="61" t="n">
        <v>20</v>
      </c>
      <c r="B121" s="39" t="inlineStr">
        <is>
          <t>03/01–03/07</t>
        </is>
      </c>
      <c r="C121" s="61" t="inlineStr">
        <is>
          <t>周四</t>
        </is>
      </c>
      <c r="D121" s="39" t="inlineStr">
        <is>
          <t>工具集设计：5 个工具，每个都有失败路径</t>
        </is>
      </c>
      <c r="E121" s="40" t="inlineStr">
        <is>
          <t>MCP Server 构建</t>
        </is>
      </c>
      <c r="F121" s="41" t="inlineStr">
        <is>
          <t>—</t>
        </is>
      </c>
      <c r="G121" s="39" t="inlineStr">
        <is>
          <t>每个工具写 2 条失败用例</t>
        </is>
      </c>
    </row>
    <row r="122" ht="30" customHeight="1">
      <c r="A122" s="61" t="n">
        <v>20</v>
      </c>
      <c r="B122" s="39" t="inlineStr">
        <is>
          <t>03/01–03/07</t>
        </is>
      </c>
      <c r="C122" s="61" t="inlineStr">
        <is>
          <t>周五</t>
        </is>
      </c>
      <c r="D122" s="39" t="inlineStr">
        <is>
          <t>搭骨架：接口、配置、日志、成本上限</t>
        </is>
      </c>
      <c r="E122" s="40" t="inlineStr">
        <is>
          <t>FastAPI 文档</t>
        </is>
      </c>
      <c r="F122" s="41" t="inlineStr">
        <is>
          <t>—</t>
        </is>
      </c>
      <c r="G122" s="39" t="inlineStr">
        <is>
          <t>空实现能跑通一条完整链路</t>
        </is>
      </c>
    </row>
    <row r="123" ht="40" customHeight="1">
      <c r="A123" s="61" t="n">
        <v>20</v>
      </c>
      <c r="B123" s="39" t="inlineStr">
        <is>
          <t>03/01–03/07</t>
        </is>
      </c>
      <c r="C123" s="62" t="inlineStr">
        <is>
          <t>周末</t>
        </is>
      </c>
      <c r="D123" s="39" t="inlineStr">
        <is>
          <t>实战：交付「设计文档 + 20 条用例」，代码只写骨架。用例先红，后面再转绿。</t>
        </is>
      </c>
      <c r="E123" s="43" t="inlineStr">
        <is>
          <t>检索兜底：agent 项目 需求 文档 模板；验收用例 设计</t>
        </is>
      </c>
      <c r="F123" s="63" t="inlineStr"/>
      <c r="G123" s="63" t="inlineStr"/>
    </row>
    <row r="124" ht="30" customHeight="1">
      <c r="A124" s="61" t="n">
        <v>21</v>
      </c>
      <c r="B124" s="39" t="inlineStr">
        <is>
          <t>03/08–03/14</t>
        </is>
      </c>
      <c r="C124" s="61" t="inlineStr">
        <is>
          <t>周一</t>
        </is>
      </c>
      <c r="D124" s="39" t="inlineStr">
        <is>
          <t>实现核心链路，先让 5 条用例通过</t>
        </is>
      </c>
      <c r="E124" s="45" t="inlineStr">
        <is>
          <t>—（无需材料）</t>
        </is>
      </c>
      <c r="F124" s="41" t="inlineStr">
        <is>
          <t>—</t>
        </is>
      </c>
      <c r="G124" s="39" t="inlineStr">
        <is>
          <t>通过率 25%，记录失败原因</t>
        </is>
      </c>
    </row>
    <row r="125" ht="30" customHeight="1">
      <c r="A125" s="61" t="n">
        <v>21</v>
      </c>
      <c r="B125" s="39" t="inlineStr">
        <is>
          <t>03/08–03/14</t>
        </is>
      </c>
      <c r="C125" s="61" t="inlineStr">
        <is>
          <t>周二</t>
        </is>
      </c>
      <c r="D125" s="39" t="inlineStr">
        <is>
          <t>补工具重试与降级，冲 15 条</t>
        </is>
      </c>
      <c r="E125" s="40" t="inlineStr">
        <is>
          <t>tenacity</t>
        </is>
      </c>
      <c r="F125" s="41" t="inlineStr">
        <is>
          <t>—</t>
        </is>
      </c>
      <c r="G125" s="39" t="inlineStr">
        <is>
          <t>通过率 75%，失败分类有 3 类</t>
        </is>
      </c>
    </row>
    <row r="126" ht="30" customHeight="1">
      <c r="A126" s="61" t="n">
        <v>21</v>
      </c>
      <c r="B126" s="39" t="inlineStr">
        <is>
          <t>03/08–03/14</t>
        </is>
      </c>
      <c r="C126" s="61" t="inlineStr">
        <is>
          <t>周三</t>
        </is>
      </c>
      <c r="D126" s="39" t="inlineStr">
        <is>
          <t>上下文压缩 + 提示调整，冲 18 条</t>
        </is>
      </c>
      <c r="E126" s="45" t="inlineStr">
        <is>
          <t>—（无需材料）</t>
        </is>
      </c>
      <c r="F126" s="41" t="inlineStr">
        <is>
          <t>—</t>
        </is>
      </c>
      <c r="G126" s="39" t="inlineStr">
        <is>
          <t>通过率 90%，成本变化记录</t>
        </is>
      </c>
    </row>
    <row r="127" ht="30" customHeight="1">
      <c r="A127" s="61" t="n">
        <v>21</v>
      </c>
      <c r="B127" s="39" t="inlineStr">
        <is>
          <t>03/08–03/14</t>
        </is>
      </c>
      <c r="C127" s="61" t="inlineStr">
        <is>
          <t>周四</t>
        </is>
      </c>
      <c r="D127" s="39" t="inlineStr">
        <is>
          <t>接 trace 与监控，能定位每一次失败</t>
        </is>
      </c>
      <c r="E127" s="40" t="inlineStr">
        <is>
          <t>Langfuse</t>
        </is>
      </c>
      <c r="F127" s="41" t="inlineStr">
        <is>
          <t>—</t>
        </is>
      </c>
      <c r="G127" s="39" t="inlineStr">
        <is>
          <t>随机抽 3 条失败能追到根因</t>
        </is>
      </c>
    </row>
    <row r="128" ht="30" customHeight="1">
      <c r="A128" s="61" t="n">
        <v>21</v>
      </c>
      <c r="B128" s="39" t="inlineStr">
        <is>
          <t>03/08–03/14</t>
        </is>
      </c>
      <c r="C128" s="61" t="inlineStr">
        <is>
          <t>周五</t>
        </is>
      </c>
      <c r="D128" s="39" t="inlineStr">
        <is>
          <t>部署 + README + 指标表</t>
        </is>
      </c>
      <c r="E128" s="40" t="inlineStr">
        <is>
          <t>Make a README</t>
        </is>
      </c>
      <c r="F128" s="41" t="inlineStr">
        <is>
          <t>—</t>
        </is>
      </c>
      <c r="G128" s="39" t="inlineStr">
        <is>
          <t>一条命令起服务，指标表四项俱全</t>
        </is>
      </c>
    </row>
    <row r="129" ht="40" customHeight="1">
      <c r="A129" s="61" t="n">
        <v>21</v>
      </c>
      <c r="B129" s="39" t="inlineStr">
        <is>
          <t>03/08–03/14</t>
        </is>
      </c>
      <c r="C129" s="62" t="inlineStr">
        <is>
          <t>周末</t>
        </is>
      </c>
      <c r="D129" s="39" t="inlineStr">
        <is>
          <t>实战：项目 1 收口：成功率 82%→91% 这类曲线要真实存在，别编数字——面试…</t>
        </is>
      </c>
      <c r="E129" s="43" t="inlineStr">
        <is>
          <t>检索兜底：agent 项目 README 指标；上下文压缩 实践</t>
        </is>
      </c>
      <c r="F129" s="63" t="inlineStr"/>
      <c r="G129" s="63" t="inlineStr"/>
    </row>
    <row r="130" ht="30" customHeight="1">
      <c r="A130" s="61" t="n">
        <v>22</v>
      </c>
      <c r="B130" s="39" t="inlineStr">
        <is>
          <t>03/15–03/21</t>
        </is>
      </c>
      <c r="C130" s="61" t="inlineStr">
        <is>
          <t>周一</t>
        </is>
      </c>
      <c r="D130" s="39" t="inlineStr">
        <is>
          <t>界面选型：Gradio 最快，Streamlit 更好看</t>
        </is>
      </c>
      <c r="E130" s="40" t="inlineStr">
        <is>
          <t>Gradio</t>
        </is>
      </c>
      <c r="F130" s="40" t="inlineStr">
        <is>
          <t>Streamlit</t>
        </is>
      </c>
      <c r="G130" s="39" t="inlineStr">
        <is>
          <t>能上传 YAML 并看到结果表</t>
        </is>
      </c>
    </row>
    <row r="131" ht="30" customHeight="1">
      <c r="A131" s="61" t="n">
        <v>22</v>
      </c>
      <c r="B131" s="39" t="inlineStr">
        <is>
          <t>03/15–03/21</t>
        </is>
      </c>
      <c r="C131" s="61" t="inlineStr">
        <is>
          <t>周二</t>
        </is>
      </c>
      <c r="D131" s="39" t="inlineStr">
        <is>
          <t>回放：逐步查看 messages / 工具 / 耗时</t>
        </is>
      </c>
      <c r="E131" s="40" t="inlineStr">
        <is>
          <t>Inspect 日志查看器</t>
        </is>
      </c>
      <c r="F131" s="41" t="inlineStr">
        <is>
          <t>—</t>
        </is>
      </c>
      <c r="G131" s="39" t="inlineStr">
        <is>
          <t>点开一条 case 能看完整轨迹</t>
        </is>
      </c>
    </row>
    <row r="132" ht="30" customHeight="1">
      <c r="A132" s="61" t="n">
        <v>22</v>
      </c>
      <c r="B132" s="39" t="inlineStr">
        <is>
          <t>03/15–03/21</t>
        </is>
      </c>
      <c r="C132" s="61" t="inlineStr">
        <is>
          <t>周三</t>
        </is>
      </c>
      <c r="D132" s="39" t="inlineStr">
        <is>
          <t>版本对比：两次运行的 diff 视图</t>
        </is>
      </c>
      <c r="E132" s="45" t="inlineStr">
        <is>
          <t>—（无需材料）</t>
        </is>
      </c>
      <c r="F132" s="41" t="inlineStr">
        <is>
          <t>—</t>
        </is>
      </c>
      <c r="G132" s="39" t="inlineStr">
        <is>
          <t>通过率/成本/延迟三列 diff 上色</t>
        </is>
      </c>
    </row>
    <row r="133" ht="30" customHeight="1">
      <c r="A133" s="61" t="n">
        <v>22</v>
      </c>
      <c r="B133" s="39" t="inlineStr">
        <is>
          <t>03/15–03/21</t>
        </is>
      </c>
      <c r="C133" s="61" t="inlineStr">
        <is>
          <t>周四</t>
        </is>
      </c>
      <c r="D133" s="39" t="inlineStr">
        <is>
          <t>失败归因看板与导出 markdown 报告</t>
        </is>
      </c>
      <c r="E133" s="45" t="inlineStr">
        <is>
          <t>—（无需材料）</t>
        </is>
      </c>
      <c r="F133" s="41" t="inlineStr">
        <is>
          <t>—</t>
        </is>
      </c>
      <c r="G133" s="39" t="inlineStr">
        <is>
          <t>一键导出，能贴进 PR</t>
        </is>
      </c>
    </row>
    <row r="134" ht="30" customHeight="1">
      <c r="A134" s="61" t="n">
        <v>22</v>
      </c>
      <c r="B134" s="39" t="inlineStr">
        <is>
          <t>03/15–03/21</t>
        </is>
      </c>
      <c r="C134" s="61" t="inlineStr">
        <is>
          <t>周五</t>
        </is>
      </c>
      <c r="D134" s="39" t="inlineStr">
        <is>
          <t>演示视频录制（3 分钟）</t>
        </is>
      </c>
      <c r="E134" s="45" t="inlineStr">
        <is>
          <t>—（无需材料）</t>
        </is>
      </c>
      <c r="F134" s="41" t="inlineStr">
        <is>
          <t>—</t>
        </is>
      </c>
      <c r="G134" s="39" t="inlineStr">
        <is>
          <t>讲清「问题-方案-效果」</t>
        </is>
      </c>
    </row>
    <row r="135" ht="40" customHeight="1">
      <c r="A135" s="61" t="n">
        <v>22</v>
      </c>
      <c r="B135" s="39" t="inlineStr">
        <is>
          <t>03/15–03/21</t>
        </is>
      </c>
      <c r="C135" s="62" t="inlineStr">
        <is>
          <t>周末</t>
        </is>
      </c>
      <c r="D135" s="39" t="inlineStr">
        <is>
          <t>实战：里程碑 M5：两个仓库 + 两个 3 分钟视频 + 一篇技术文章。</t>
        </is>
      </c>
      <c r="E135" s="43" t="inlineStr">
        <is>
          <t>检索兜底：gradio 文件上传；eval 结果 diff 对比</t>
        </is>
      </c>
      <c r="F135" s="63" t="inlineStr"/>
      <c r="G135" s="63" t="inlineStr"/>
    </row>
    <row r="136" ht="30" customHeight="1">
      <c r="A136" s="61" t="n">
        <v>23</v>
      </c>
      <c r="B136" s="39" t="inlineStr">
        <is>
          <t>03/22–03/28</t>
        </is>
      </c>
      <c r="C136" s="61" t="inlineStr">
        <is>
          <t>周一</t>
        </is>
      </c>
      <c r="D136" s="39" t="inlineStr">
        <is>
          <t>按「架构-业务-结果」三维重写项目经历</t>
        </is>
      </c>
      <c r="E136" s="40" t="inlineStr">
        <is>
          <t>Tech Resume Guide</t>
        </is>
      </c>
      <c r="F136" s="41" t="inlineStr">
        <is>
          <t>—</t>
        </is>
      </c>
      <c r="G136" s="39" t="inlineStr">
        <is>
          <t>两个项目各 4 行，每行带数字</t>
        </is>
      </c>
    </row>
    <row r="137" ht="30" customHeight="1">
      <c r="A137" s="61" t="n">
        <v>23</v>
      </c>
      <c r="B137" s="39" t="inlineStr">
        <is>
          <t>03/22–03/28</t>
        </is>
      </c>
      <c r="C137" s="61" t="inlineStr">
        <is>
          <t>周二</t>
        </is>
      </c>
      <c r="D137" s="39" t="inlineStr">
        <is>
          <t>写 3 分钟版讲稿并录音回听</t>
        </is>
      </c>
      <c r="E137" s="45" t="inlineStr">
        <is>
          <t>—（无需材料）</t>
        </is>
      </c>
      <c r="F137" s="41" t="inlineStr">
        <is>
          <t>—</t>
        </is>
      </c>
      <c r="G137" s="39" t="inlineStr">
        <is>
          <t>不看稿能讲完，卡壳点标出来</t>
        </is>
      </c>
    </row>
    <row r="138" ht="30" customHeight="1">
      <c r="A138" s="61" t="n">
        <v>23</v>
      </c>
      <c r="B138" s="39" t="inlineStr">
        <is>
          <t>03/22–03/28</t>
        </is>
      </c>
      <c r="C138" s="61" t="inlineStr">
        <is>
          <t>周三</t>
        </is>
      </c>
      <c r="D138" s="39" t="inlineStr">
        <is>
          <t>写 10 分钟版（含架构图与失败案例）</t>
        </is>
      </c>
      <c r="E138" s="45" t="inlineStr">
        <is>
          <t>—（无需材料）</t>
        </is>
      </c>
      <c r="F138" s="41" t="inlineStr">
        <is>
          <t>—</t>
        </is>
      </c>
      <c r="G138" s="39" t="inlineStr">
        <is>
          <t>能回答「为什么不用 X」</t>
        </is>
      </c>
    </row>
    <row r="139" ht="30" customHeight="1">
      <c r="A139" s="61" t="n">
        <v>23</v>
      </c>
      <c r="B139" s="39" t="inlineStr">
        <is>
          <t>03/22–03/28</t>
        </is>
      </c>
      <c r="C139" s="61" t="inlineStr">
        <is>
          <t>周四</t>
        </is>
      </c>
      <c r="D139" s="39" t="inlineStr">
        <is>
          <t>系统设计 8 题：Agent 客服 / 代码 Agent / 研究 Agent</t>
        </is>
      </c>
      <c r="E139" s="40" t="inlineStr">
        <is>
          <t>AgentGuide 路线</t>
        </is>
      </c>
      <c r="F139" s="41" t="inlineStr">
        <is>
          <t>—</t>
        </is>
      </c>
      <c r="G139" s="39" t="inlineStr">
        <is>
          <t>每题画出数据流与兜底</t>
        </is>
      </c>
    </row>
    <row r="140" ht="30" customHeight="1">
      <c r="A140" s="61" t="n">
        <v>23</v>
      </c>
      <c r="B140" s="39" t="inlineStr">
        <is>
          <t>03/22–03/28</t>
        </is>
      </c>
      <c r="C140" s="61" t="inlineStr">
        <is>
          <t>周五</t>
        </is>
      </c>
      <c r="D140" s="39" t="inlineStr">
        <is>
          <t>找人 mock 一次，收集 3 个尖锐问题</t>
        </is>
      </c>
      <c r="E140" s="45" t="inlineStr">
        <is>
          <t>—（无需材料）</t>
        </is>
      </c>
      <c r="F140" s="41" t="inlineStr">
        <is>
          <t>—</t>
        </is>
      </c>
      <c r="G140" s="39" t="inlineStr">
        <is>
          <t>把答不上的题记下来补</t>
        </is>
      </c>
    </row>
    <row r="141" ht="40" customHeight="1">
      <c r="A141" s="61" t="n">
        <v>23</v>
      </c>
      <c r="B141" s="39" t="inlineStr">
        <is>
          <t>03/22–03/28</t>
        </is>
      </c>
      <c r="C141" s="62" t="inlineStr">
        <is>
          <t>周末</t>
        </is>
      </c>
      <c r="D141" s="39" t="inlineStr">
        <is>
          <t>实战：简历 v3 定稿，投递名单列 20 家（含内推渠道）。</t>
        </is>
      </c>
      <c r="E141" s="43" t="inlineStr">
        <is>
          <t>检索兜底：agent 简历 项目 描述；系统设计 面试 agent</t>
        </is>
      </c>
      <c r="F141" s="63" t="inlineStr"/>
      <c r="G141" s="63" t="inlineStr"/>
    </row>
    <row r="142" ht="30" customHeight="1">
      <c r="A142" s="61" t="n">
        <v>24</v>
      </c>
      <c r="B142" s="39" t="inlineStr">
        <is>
          <t>03/29–04/04</t>
        </is>
      </c>
      <c r="C142" s="61" t="inlineStr">
        <is>
          <t>周一</t>
        </is>
      </c>
      <c r="D142" s="39" t="inlineStr">
        <is>
          <t>高频题过一遍：边界、工具、上下文、循环、评测</t>
        </is>
      </c>
      <c r="E142" s="40" t="inlineStr">
        <is>
          <t>AgentGuide 面经</t>
        </is>
      </c>
      <c r="F142" s="41" t="inlineStr">
        <is>
          <t>—</t>
        </is>
      </c>
      <c r="G142" s="39" t="inlineStr">
        <is>
          <t>10 题各写 3 句答案</t>
        </is>
      </c>
    </row>
    <row r="143" ht="30" customHeight="1">
      <c r="A143" s="61" t="n">
        <v>24</v>
      </c>
      <c r="B143" s="39" t="inlineStr">
        <is>
          <t>03/29–04/04</t>
        </is>
      </c>
      <c r="C143" s="61" t="inlineStr">
        <is>
          <t>周二</t>
        </is>
      </c>
      <c r="D143" s="39" t="inlineStr">
        <is>
          <t>RAG 专项：切分、混合、重排、评估</t>
        </is>
      </c>
      <c r="E143" s="40" t="inlineStr">
        <is>
          <t>RAGAs 指标</t>
        </is>
      </c>
      <c r="F143" s="41" t="inlineStr">
        <is>
          <t>—</t>
        </is>
      </c>
      <c r="G143" s="39" t="inlineStr">
        <is>
          <t>能解释每个指标的失效场景</t>
        </is>
      </c>
    </row>
    <row r="144" ht="30" customHeight="1">
      <c r="A144" s="61" t="n">
        <v>24</v>
      </c>
      <c r="B144" s="39" t="inlineStr">
        <is>
          <t>03/29–04/04</t>
        </is>
      </c>
      <c r="C144" s="61" t="inlineStr">
        <is>
          <t>周三</t>
        </is>
      </c>
      <c r="D144" s="39" t="inlineStr">
        <is>
          <t>把「我会怎么测它」这句话练成肌肉记忆</t>
        </is>
      </c>
      <c r="E144" s="45" t="inlineStr">
        <is>
          <t>—（无需材料）</t>
        </is>
      </c>
      <c r="F144" s="41" t="inlineStr">
        <is>
          <t>—</t>
        </is>
      </c>
      <c r="G144" s="39" t="inlineStr">
        <is>
          <t>每题都能接一句测试方案</t>
        </is>
      </c>
    </row>
    <row r="145" ht="30" customHeight="1">
      <c r="A145" s="61" t="n">
        <v>24</v>
      </c>
      <c r="B145" s="39" t="inlineStr">
        <is>
          <t>03/29–04/04</t>
        </is>
      </c>
      <c r="C145" s="61" t="inlineStr">
        <is>
          <t>周四</t>
        </is>
      </c>
      <c r="D145" s="39" t="inlineStr">
        <is>
          <t>mock 第二场，全程录像</t>
        </is>
      </c>
      <c r="E145" s="45" t="inlineStr">
        <is>
          <t>—（无需材料）</t>
        </is>
      </c>
      <c r="F145" s="41" t="inlineStr">
        <is>
          <t>—</t>
        </is>
      </c>
      <c r="G145" s="39" t="inlineStr">
        <is>
          <t>回看并列出 5 个改进点</t>
        </is>
      </c>
    </row>
    <row r="146" ht="30" customHeight="1">
      <c r="A146" s="61" t="n">
        <v>24</v>
      </c>
      <c r="B146" s="39" t="inlineStr">
        <is>
          <t>03/29–04/04</t>
        </is>
      </c>
      <c r="C146" s="61" t="inlineStr">
        <is>
          <t>周五</t>
        </is>
      </c>
      <c r="D146" s="39" t="inlineStr">
        <is>
          <t>投出第一批 5-8 家，建投递表</t>
        </is>
      </c>
      <c r="E146" s="40" t="inlineStr">
        <is>
          <t>投递跟踪模板</t>
        </is>
      </c>
      <c r="F146" s="41" t="inlineStr">
        <is>
          <t>—</t>
        </is>
      </c>
      <c r="G146" s="39" t="inlineStr">
        <is>
          <t>岗位/进度/反馈三列</t>
        </is>
      </c>
    </row>
    <row r="147" ht="40" customHeight="1">
      <c r="A147" s="61" t="n">
        <v>24</v>
      </c>
      <c r="B147" s="39" t="inlineStr">
        <is>
          <t>03/29–04/04</t>
        </is>
      </c>
      <c r="C147" s="62" t="inlineStr">
        <is>
          <t>周末</t>
        </is>
      </c>
      <c r="D147" s="39" t="inlineStr">
        <is>
          <t>实战：开始投递。被拒也要记录原因，这是最便宜的市场调研。</t>
        </is>
      </c>
      <c r="E147" s="43" t="inlineStr">
        <is>
          <t>检索兜底：agent 面试 高频题；大模型 评测 面试</t>
        </is>
      </c>
      <c r="F147" s="63" t="inlineStr"/>
      <c r="G147" s="63" t="inlineStr"/>
    </row>
    <row r="148" ht="30" customHeight="1">
      <c r="A148" s="61" t="n">
        <v>25</v>
      </c>
      <c r="B148" s="39" t="inlineStr">
        <is>
          <t>04/05–04/11</t>
        </is>
      </c>
      <c r="C148" s="61" t="inlineStr">
        <is>
          <t>周一</t>
        </is>
      </c>
      <c r="D148" s="39" t="inlineStr">
        <is>
          <t>PyTorch 60 分钟闪电战：张量、autograd</t>
        </is>
      </c>
      <c r="E148" s="40" t="inlineStr">
        <is>
          <t>PyTorch 教程</t>
        </is>
      </c>
      <c r="F148" s="41" t="inlineStr">
        <is>
          <t>—</t>
        </is>
      </c>
      <c r="G148" s="39" t="inlineStr">
        <is>
          <t>手写一个线性回归训练循环</t>
        </is>
      </c>
    </row>
    <row r="149" ht="30" customHeight="1">
      <c r="A149" s="61" t="n">
        <v>25</v>
      </c>
      <c r="B149" s="39" t="inlineStr">
        <is>
          <t>04/05–04/11</t>
        </is>
      </c>
      <c r="C149" s="61" t="inlineStr">
        <is>
          <t>周二</t>
        </is>
      </c>
      <c r="D149" s="39" t="inlineStr">
        <is>
          <t>训练循环的标准写法：dataset / loss / optimizer</t>
        </is>
      </c>
      <c r="E149" s="40" t="inlineStr">
        <is>
          <t>PyTorch 基础</t>
        </is>
      </c>
      <c r="F149" s="41" t="inlineStr">
        <is>
          <t>—</t>
        </is>
      </c>
      <c r="G149" s="39" t="inlineStr">
        <is>
          <t>训练 MNIST 到 98%</t>
        </is>
      </c>
    </row>
    <row r="150" ht="30" customHeight="1">
      <c r="A150" s="61" t="n">
        <v>25</v>
      </c>
      <c r="B150" s="39" t="inlineStr">
        <is>
          <t>04/05–04/11</t>
        </is>
      </c>
      <c r="C150" s="61" t="inlineStr">
        <is>
          <t>周三</t>
        </is>
      </c>
      <c r="D150" s="39" t="inlineStr">
        <is>
          <t>VLA 是什么：把「看-想-动」串起来</t>
        </is>
      </c>
      <c r="E150" s="40" t="inlineStr">
        <is>
          <t>awesome-vla-study</t>
        </is>
      </c>
      <c r="F150" s="41" t="inlineStr">
        <is>
          <t>—</t>
        </is>
      </c>
      <c r="G150" s="39" t="inlineStr">
        <is>
          <t>画出 VLA 的输入输出</t>
        </is>
      </c>
    </row>
    <row r="151" ht="30" customHeight="1">
      <c r="A151" s="61" t="n">
        <v>25</v>
      </c>
      <c r="B151" s="39" t="inlineStr">
        <is>
          <t>04/05–04/11</t>
        </is>
      </c>
      <c r="C151" s="61" t="inlineStr">
        <is>
          <t>周四</t>
        </is>
      </c>
      <c r="D151" s="39" t="inlineStr">
        <is>
          <t>具身全景：感知、规划、控制、数据</t>
        </is>
      </c>
      <c r="E151" s="40" t="inlineStr">
        <is>
          <t>Foundation of Embodied AI</t>
        </is>
      </c>
      <c r="F151" s="41" t="inlineStr">
        <is>
          <t>—</t>
        </is>
      </c>
      <c r="G151" s="39" t="inlineStr">
        <is>
          <t>一页笔记：具身与 LLM Agent 的 3 个本质差异</t>
        </is>
      </c>
    </row>
    <row r="152" ht="30" customHeight="1">
      <c r="A152" s="61" t="n">
        <v>25</v>
      </c>
      <c r="B152" s="39" t="inlineStr">
        <is>
          <t>04/05–04/11</t>
        </is>
      </c>
      <c r="C152" s="61" t="inlineStr">
        <is>
          <t>周五</t>
        </is>
      </c>
      <c r="D152" s="39" t="inlineStr">
        <is>
          <t>把 VLA 类比成「有身体的多模态 Agent」讲给外行</t>
        </is>
      </c>
      <c r="E152" s="45" t="inlineStr">
        <is>
          <t>—（无需材料）</t>
        </is>
      </c>
      <c r="F152" s="41" t="inlineStr">
        <is>
          <t>—</t>
        </is>
      </c>
      <c r="G152" s="39" t="inlineStr">
        <is>
          <t>3 分钟口述，不查资料</t>
        </is>
      </c>
    </row>
    <row r="153" ht="40" customHeight="1">
      <c r="A153" s="61" t="n">
        <v>25</v>
      </c>
      <c r="B153" s="39" t="inlineStr">
        <is>
          <t>04/05–04/11</t>
        </is>
      </c>
      <c r="C153" s="62" t="inlineStr">
        <is>
          <t>周末</t>
        </is>
      </c>
      <c r="D153" s="39" t="inlineStr">
        <is>
          <t>实战：一个 MLP 训练脚本 + 一页 VLA 类比笔记（能讲清为什么动作不是文本）。</t>
        </is>
      </c>
      <c r="E153" s="43" t="inlineStr">
        <is>
          <t>检索兜底：VLA 模型 综述；具身智能 技术栈 全景</t>
        </is>
      </c>
      <c r="F153" s="63" t="inlineStr"/>
      <c r="G153" s="63" t="inlineStr"/>
    </row>
    <row r="154" ht="30" customHeight="1">
      <c r="A154" s="61" t="n">
        <v>26</v>
      </c>
      <c r="B154" s="39" t="inlineStr">
        <is>
          <t>04/12–04/18</t>
        </is>
      </c>
      <c r="C154" s="61" t="inlineStr">
        <is>
          <t>周一</t>
        </is>
      </c>
      <c r="D154" s="39" t="inlineStr">
        <is>
          <t>坐标系、齐次变换、旋转矩阵</t>
        </is>
      </c>
      <c r="E154" s="40" t="inlineStr">
        <is>
          <t>Foundation of Embodied AI</t>
        </is>
      </c>
      <c r="F154" s="41" t="inlineStr">
        <is>
          <t>—</t>
        </is>
      </c>
      <c r="G154" s="39" t="inlineStr">
        <is>
          <t>手推一次 2D 变换并验算</t>
        </is>
      </c>
    </row>
    <row r="155" ht="30" customHeight="1">
      <c r="A155" s="61" t="n">
        <v>26</v>
      </c>
      <c r="B155" s="39" t="inlineStr">
        <is>
          <t>04/12–04/18</t>
        </is>
      </c>
      <c r="C155" s="61" t="inlineStr">
        <is>
          <t>周二</t>
        </is>
      </c>
      <c r="D155" s="39" t="inlineStr">
        <is>
          <t>正运动学与逆运动学（2 连杆起步）</t>
        </is>
      </c>
      <c r="E155" s="40" t="inlineStr">
        <is>
          <t>Modern Robotics 概念</t>
        </is>
      </c>
      <c r="F155" s="41" t="inlineStr">
        <is>
          <t>—</t>
        </is>
      </c>
      <c r="G155" s="39" t="inlineStr">
        <is>
          <t>用 numpy 算 2 连杆逆解</t>
        </is>
      </c>
    </row>
    <row r="156" ht="30" customHeight="1">
      <c r="A156" s="61" t="n">
        <v>26</v>
      </c>
      <c r="B156" s="39" t="inlineStr">
        <is>
          <t>04/12–04/18</t>
        </is>
      </c>
      <c r="C156" s="61" t="inlineStr">
        <is>
          <t>周三</t>
        </is>
      </c>
      <c r="D156" s="39" t="inlineStr">
        <is>
          <t>ROS 2 架构：节点、话题、服务、动作</t>
        </is>
      </c>
      <c r="E156" s="40" t="inlineStr">
        <is>
          <t>ROS 2 教程</t>
        </is>
      </c>
      <c r="F156" s="41" t="inlineStr">
        <is>
          <t>—</t>
        </is>
      </c>
      <c r="G156" s="39" t="inlineStr">
        <is>
          <t>跑通 talker/listener</t>
        </is>
      </c>
    </row>
    <row r="157" ht="30" customHeight="1">
      <c r="A157" s="61" t="n">
        <v>26</v>
      </c>
      <c r="B157" s="39" t="inlineStr">
        <is>
          <t>04/12–04/18</t>
        </is>
      </c>
      <c r="C157" s="61" t="inlineStr">
        <is>
          <t>周四</t>
        </is>
      </c>
      <c r="D157" s="39" t="inlineStr">
        <is>
          <t>rclpy 写一个自己的节点</t>
        </is>
      </c>
      <c r="E157" s="40" t="inlineStr">
        <is>
          <t>rclpy 教程</t>
        </is>
      </c>
      <c r="F157" s="41" t="inlineStr">
        <is>
          <t>—</t>
        </is>
      </c>
      <c r="G157" s="39" t="inlineStr">
        <is>
          <t>节点能发布关节角</t>
        </is>
      </c>
    </row>
    <row r="158" ht="30" customHeight="1">
      <c r="A158" s="61" t="n">
        <v>26</v>
      </c>
      <c r="B158" s="39" t="inlineStr">
        <is>
          <t>04/12–04/18</t>
        </is>
      </c>
      <c r="C158" s="61" t="inlineStr">
        <is>
          <t>周五</t>
        </is>
      </c>
      <c r="D158" s="39" t="inlineStr">
        <is>
          <t>URDF：机器人描述文件长什么样</t>
        </is>
      </c>
      <c r="E158" s="40" t="inlineStr">
        <is>
          <t>URDF 教程</t>
        </is>
      </c>
      <c r="F158" s="41" t="inlineStr">
        <is>
          <t>—</t>
        </is>
      </c>
      <c r="G158" s="39" t="inlineStr">
        <is>
          <t>改一个 URDF 并在 RViz 里看到</t>
        </is>
      </c>
    </row>
    <row r="159" ht="40" customHeight="1">
      <c r="A159" s="61" t="n">
        <v>26</v>
      </c>
      <c r="B159" s="39" t="inlineStr">
        <is>
          <t>04/12–04/18</t>
        </is>
      </c>
      <c r="C159" s="62" t="inlineStr">
        <is>
          <t>周末</t>
        </is>
      </c>
      <c r="D159" s="39" t="inlineStr">
        <is>
          <t>实战：2 连杆逆解脚本 + 一个 ROS 2 节点，合并成一个能「收到目标点就输出…</t>
        </is>
      </c>
      <c r="E159" s="43" t="inlineStr">
        <is>
          <t>检索兜底：ROS2 rclpy 节点 教程；逆运动学 2连杆</t>
        </is>
      </c>
      <c r="F159" s="63" t="inlineStr"/>
      <c r="G159" s="63" t="inlineStr"/>
    </row>
    <row r="160" ht="30" customHeight="1">
      <c r="A160" s="61" t="n">
        <v>27</v>
      </c>
      <c r="B160" s="39" t="inlineStr">
        <is>
          <t>04/19–04/25</t>
        </is>
      </c>
      <c r="C160" s="61" t="inlineStr">
        <is>
          <t>周一</t>
        </is>
      </c>
      <c r="D160" s="39" t="inlineStr">
        <is>
          <t>MuJoCo 基础：模型、关节、执行器、渲染</t>
        </is>
      </c>
      <c r="E160" s="40" t="inlineStr">
        <is>
          <t>MuJoCo 文档</t>
        </is>
      </c>
      <c r="F160" s="41" t="inlineStr">
        <is>
          <t>—</t>
        </is>
      </c>
      <c r="G160" s="39" t="inlineStr">
        <is>
          <t>加载一个机械臂模型并渲染</t>
        </is>
      </c>
    </row>
    <row r="161" ht="30" customHeight="1">
      <c r="A161" s="61" t="n">
        <v>27</v>
      </c>
      <c r="B161" s="39" t="inlineStr">
        <is>
          <t>04/19–04/25</t>
        </is>
      </c>
      <c r="C161" s="61" t="inlineStr">
        <is>
          <t>周二</t>
        </is>
      </c>
      <c r="D161" s="39" t="inlineStr">
        <is>
          <t>Gymnasium 接口：reset / step / reward / done</t>
        </is>
      </c>
      <c r="E161" s="40" t="inlineStr">
        <is>
          <t>Gymnasium</t>
        </is>
      </c>
      <c r="F161" s="41" t="inlineStr">
        <is>
          <t>—</t>
        </is>
      </c>
      <c r="G161" s="39" t="inlineStr">
        <is>
          <t>写一个自定义环境壳</t>
        </is>
      </c>
    </row>
    <row r="162" ht="30" customHeight="1">
      <c r="A162" s="61" t="n">
        <v>27</v>
      </c>
      <c r="B162" s="39" t="inlineStr">
        <is>
          <t>04/19–04/25</t>
        </is>
      </c>
      <c r="C162" s="61" t="inlineStr">
        <is>
          <t>周三</t>
        </is>
      </c>
      <c r="D162" s="39" t="inlineStr">
        <is>
          <t>搭 reach 任务：目标点、距离奖励、成功判定</t>
        </is>
      </c>
      <c r="E162" s="40" t="inlineStr">
        <is>
          <t>Gymnasium 自定义环境</t>
        </is>
      </c>
      <c r="F162" s="41" t="inlineStr">
        <is>
          <t>—</t>
        </is>
      </c>
      <c r="G162" s="39" t="inlineStr">
        <is>
          <t>随机策略成功率接近 0</t>
        </is>
      </c>
    </row>
    <row r="163" ht="30" customHeight="1">
      <c r="A163" s="61" t="n">
        <v>27</v>
      </c>
      <c r="B163" s="39" t="inlineStr">
        <is>
          <t>04/19–04/25</t>
        </is>
      </c>
      <c r="C163" s="61" t="inlineStr">
        <is>
          <t>周四</t>
        </is>
      </c>
      <c r="D163" s="39" t="inlineStr">
        <is>
          <t>奖励整形：稀疏 vs 稠密</t>
        </is>
      </c>
      <c r="E163" s="45" t="inlineStr">
        <is>
          <t>—（无需材料）</t>
        </is>
      </c>
      <c r="F163" s="41" t="inlineStr">
        <is>
          <t>—</t>
        </is>
      </c>
      <c r="G163" s="39" t="inlineStr">
        <is>
          <t>两种奖励的曲线对比</t>
        </is>
      </c>
    </row>
    <row r="164" ht="30" customHeight="1">
      <c r="A164" s="61" t="n">
        <v>27</v>
      </c>
      <c r="B164" s="39" t="inlineStr">
        <is>
          <t>04/19–04/25</t>
        </is>
      </c>
      <c r="C164" s="61" t="inlineStr">
        <is>
          <t>周五</t>
        </is>
      </c>
      <c r="D164" s="39" t="inlineStr">
        <is>
          <t>把环境接上随机策略基线并记录</t>
        </is>
      </c>
      <c r="E164" s="45" t="inlineStr">
        <is>
          <t>—（无需材料）</t>
        </is>
      </c>
      <c r="F164" s="41" t="inlineStr">
        <is>
          <t>—</t>
        </is>
      </c>
      <c r="G164" s="39" t="inlineStr">
        <is>
          <t>基线数字：成功率、平均步数</t>
        </is>
      </c>
    </row>
    <row r="165" ht="40" customHeight="1">
      <c r="A165" s="61" t="n">
        <v>27</v>
      </c>
      <c r="B165" s="39" t="inlineStr">
        <is>
          <t>04/19–04/25</t>
        </is>
      </c>
      <c r="C165" s="62" t="inlineStr">
        <is>
          <t>周末</t>
        </is>
      </c>
      <c r="D165" s="39" t="inlineStr">
        <is>
          <t>实战：一个能跑 1000 步不崩的 reach 环境 + 基线曲线（此时大概率成功…</t>
        </is>
      </c>
      <c r="E165" s="43" t="inlineStr">
        <is>
          <t>检索兜底：mujoco 机械臂 环境；gymnasium 自定义 env</t>
        </is>
      </c>
      <c r="F165" s="63" t="inlineStr"/>
      <c r="G165" s="63" t="inlineStr"/>
    </row>
    <row r="166" ht="30" customHeight="1">
      <c r="A166" s="61" t="n">
        <v>28</v>
      </c>
      <c r="B166" s="39" t="inlineStr">
        <is>
          <t>04/26–05/02</t>
        </is>
      </c>
      <c r="C166" s="61" t="inlineStr">
        <is>
          <t>周一</t>
        </is>
      </c>
      <c r="D166" s="39" t="inlineStr">
        <is>
          <t>PPO 的直觉：策略、优势、裁剪</t>
        </is>
      </c>
      <c r="E166" s="40" t="inlineStr">
        <is>
          <t>PPO 论文</t>
        </is>
      </c>
      <c r="F166" s="41" t="inlineStr">
        <is>
          <t>—</t>
        </is>
      </c>
      <c r="G166" s="39" t="inlineStr">
        <is>
          <t>画出 PPO 的更新流程</t>
        </is>
      </c>
    </row>
    <row r="167" ht="30" customHeight="1">
      <c r="A167" s="61" t="n">
        <v>28</v>
      </c>
      <c r="B167" s="39" t="inlineStr">
        <is>
          <t>04/26–05/02</t>
        </is>
      </c>
      <c r="C167" s="61" t="inlineStr">
        <is>
          <t>周二</t>
        </is>
      </c>
      <c r="D167" s="39" t="inlineStr">
        <is>
          <t>Spinning Up：RL 术语速查</t>
        </is>
      </c>
      <c r="E167" s="40" t="inlineStr">
        <is>
          <t>Spinning Up</t>
        </is>
      </c>
      <c r="F167" s="41" t="inlineStr">
        <is>
          <t>—</t>
        </is>
      </c>
      <c r="G167" s="39" t="inlineStr">
        <is>
          <t>搞清 on-policy / off-policy 的差别</t>
        </is>
      </c>
    </row>
    <row r="168" ht="30" customHeight="1">
      <c r="A168" s="61" t="n">
        <v>28</v>
      </c>
      <c r="B168" s="39" t="inlineStr">
        <is>
          <t>04/26–05/02</t>
        </is>
      </c>
      <c r="C168" s="61" t="inlineStr">
        <is>
          <t>周三</t>
        </is>
      </c>
      <c r="D168" s="39" t="inlineStr">
        <is>
          <t>stable-baselines3 接入：三行启动训练</t>
        </is>
      </c>
      <c r="E168" s="40" t="inlineStr">
        <is>
          <t>SB3 文档</t>
        </is>
      </c>
      <c r="F168" s="41" t="inlineStr">
        <is>
          <t>—</t>
        </is>
      </c>
      <c r="G168" s="39" t="inlineStr">
        <is>
          <t>PPO 能跑起来并保存模型</t>
        </is>
      </c>
    </row>
    <row r="169" ht="30" customHeight="1">
      <c r="A169" s="61" t="n">
        <v>28</v>
      </c>
      <c r="B169" s="39" t="inlineStr">
        <is>
          <t>04/26–05/02</t>
        </is>
      </c>
      <c r="C169" s="61" t="inlineStr">
        <is>
          <t>周四</t>
        </is>
      </c>
      <c r="D169" s="39" t="inlineStr">
        <is>
          <t>调参：学习率、并行环境数、训练步数</t>
        </is>
      </c>
      <c r="E169" s="40" t="inlineStr">
        <is>
          <t>SB3 调参建议</t>
        </is>
      </c>
      <c r="F169" s="41" t="inlineStr">
        <is>
          <t>—</t>
        </is>
      </c>
      <c r="G169" s="39" t="inlineStr">
        <is>
          <t>找到能收敛的一组参数</t>
        </is>
      </c>
    </row>
    <row r="170" ht="30" customHeight="1">
      <c r="A170" s="61" t="n">
        <v>28</v>
      </c>
      <c r="B170" s="39" t="inlineStr">
        <is>
          <t>04/26–05/02</t>
        </is>
      </c>
      <c r="C170" s="61" t="inlineStr">
        <is>
          <t>周五</t>
        </is>
      </c>
      <c r="D170" s="39" t="inlineStr">
        <is>
          <t>评估与录像：成功率、方差、失败模式</t>
        </is>
      </c>
      <c r="E170" s="45" t="inlineStr">
        <is>
          <t>—（无需材料）</t>
        </is>
      </c>
      <c r="F170" s="41" t="inlineStr">
        <is>
          <t>—</t>
        </is>
      </c>
      <c r="G170" s="39" t="inlineStr">
        <is>
          <t>成功率 &gt;80% + 一段回放视频</t>
        </is>
      </c>
    </row>
    <row r="171" ht="40" customHeight="1">
      <c r="A171" s="61" t="n">
        <v>28</v>
      </c>
      <c r="B171" s="39" t="inlineStr">
        <is>
          <t>04/26–05/02</t>
        </is>
      </c>
      <c r="C171" s="62" t="inlineStr">
        <is>
          <t>周末</t>
        </is>
      </c>
      <c r="D171" s="39" t="inlineStr">
        <is>
          <t>实战：reach 成功率从 0 到 80%+，附训练曲线与 3 条失败案例分析。</t>
        </is>
      </c>
      <c r="E171" s="43" t="inlineStr">
        <is>
          <t>检索兜底：PPO 调参 经验；stable baselines3 并行环境</t>
        </is>
      </c>
      <c r="F171" s="63" t="inlineStr"/>
      <c r="G171" s="63" t="inlineStr"/>
    </row>
    <row r="172" ht="30" customHeight="1">
      <c r="A172" s="61" t="n">
        <v>29</v>
      </c>
      <c r="B172" s="39" t="inlineStr">
        <is>
          <t>05/03–05/09</t>
        </is>
      </c>
      <c r="C172" s="61" t="inlineStr">
        <is>
          <t>周一</t>
        </is>
      </c>
      <c r="D172" s="39" t="inlineStr">
        <is>
          <t>行为克隆：把策略学成监督学习</t>
        </is>
      </c>
      <c r="E172" s="40" t="inlineStr">
        <is>
          <t>ACT 论文</t>
        </is>
      </c>
      <c r="F172" s="41" t="inlineStr">
        <is>
          <t>—</t>
        </is>
      </c>
      <c r="G172" s="39" t="inlineStr">
        <is>
          <t>讲清 BC 的复合误差问题</t>
        </is>
      </c>
    </row>
    <row r="173" ht="30" customHeight="1">
      <c r="A173" s="61" t="n">
        <v>29</v>
      </c>
      <c r="B173" s="39" t="inlineStr">
        <is>
          <t>05/03–05/09</t>
        </is>
      </c>
      <c r="C173" s="61" t="inlineStr">
        <is>
          <t>周二</t>
        </is>
      </c>
      <c r="D173" s="39" t="inlineStr">
        <is>
          <t>Diffusion Policy：为什么动作要生成而不是回归</t>
        </is>
      </c>
      <c r="E173" s="40" t="inlineStr">
        <is>
          <t>Diffusion Policy</t>
        </is>
      </c>
      <c r="F173" s="41" t="inlineStr">
        <is>
          <t>—</t>
        </is>
      </c>
      <c r="G173" s="39" t="inlineStr">
        <is>
          <t>画出扩散去噪的动作生成过程</t>
        </is>
      </c>
    </row>
    <row r="174" ht="30" customHeight="1">
      <c r="A174" s="61" t="n">
        <v>29</v>
      </c>
      <c r="B174" s="39" t="inlineStr">
        <is>
          <t>05/03–05/09</t>
        </is>
      </c>
      <c r="C174" s="61" t="inlineStr">
        <is>
          <t>周三</t>
        </is>
      </c>
      <c r="D174" s="39" t="inlineStr">
        <is>
          <t>LeRobot：数据集格式与训练流程</t>
        </is>
      </c>
      <c r="E174" s="40" t="inlineStr">
        <is>
          <t>LeRobot</t>
        </is>
      </c>
      <c r="F174" s="41" t="inlineStr">
        <is>
          <t>—</t>
        </is>
      </c>
      <c r="G174" s="39" t="inlineStr">
        <is>
          <t>能加载一个公开数据集并看字段</t>
        </is>
      </c>
    </row>
    <row r="175" ht="30" customHeight="1">
      <c r="A175" s="61" t="n">
        <v>29</v>
      </c>
      <c r="B175" s="39" t="inlineStr">
        <is>
          <t>05/03–05/09</t>
        </is>
      </c>
      <c r="C175" s="61" t="inlineStr">
        <is>
          <t>周四</t>
        </is>
      </c>
      <c r="D175" s="39" t="inlineStr">
        <is>
          <t>训一个抓取 policy</t>
        </is>
      </c>
      <c r="E175" s="40" t="inlineStr">
        <is>
          <t>LeRobot 文档</t>
        </is>
      </c>
      <c r="F175" s="41" t="inlineStr">
        <is>
          <t>—</t>
        </is>
      </c>
      <c r="G175" s="39" t="inlineStr">
        <is>
          <t>loss 下降、能出预测动作</t>
        </is>
      </c>
    </row>
    <row r="176" ht="30" customHeight="1">
      <c r="A176" s="61" t="n">
        <v>29</v>
      </c>
      <c r="B176" s="39" t="inlineStr">
        <is>
          <t>05/03–05/09</t>
        </is>
      </c>
      <c r="C176" s="61" t="inlineStr">
        <is>
          <t>周五</t>
        </is>
      </c>
      <c r="D176" s="39" t="inlineStr">
        <is>
          <t>仿真实测 + 录像</t>
        </is>
      </c>
      <c r="E176" s="45" t="inlineStr">
        <is>
          <t>—（无需材料）</t>
        </is>
      </c>
      <c r="F176" s="41" t="inlineStr">
        <is>
          <t>—</t>
        </is>
      </c>
      <c r="G176" s="39" t="inlineStr">
        <is>
          <t>成功率与失败模式记录</t>
        </is>
      </c>
    </row>
    <row r="177" ht="40" customHeight="1">
      <c r="A177" s="61" t="n">
        <v>29</v>
      </c>
      <c r="B177" s="39" t="inlineStr">
        <is>
          <t>05/03–05/09</t>
        </is>
      </c>
      <c r="C177" s="62" t="inlineStr">
        <is>
          <t>周末</t>
        </is>
      </c>
      <c r="D177" s="39" t="inlineStr">
        <is>
          <t>实战：一个能跑的抓取 policy + 回放视频；写下「BC 在你这个任务上失效的…</t>
        </is>
      </c>
      <c r="E177" s="43" t="inlineStr">
        <is>
          <t>检索兜底：行为克隆 ACT；diffusion policy 原理</t>
        </is>
      </c>
      <c r="F177" s="63" t="inlineStr"/>
      <c r="G177" s="63" t="inlineStr"/>
    </row>
    <row r="178" ht="30" customHeight="1">
      <c r="A178" s="61" t="n">
        <v>30</v>
      </c>
      <c r="B178" s="39" t="inlineStr">
        <is>
          <t>05/10–05/16</t>
        </is>
      </c>
      <c r="C178" s="61" t="inlineStr">
        <is>
          <t>周一</t>
        </is>
      </c>
      <c r="D178" s="39" t="inlineStr">
        <is>
          <t>SO-101 硬件：舵机、总线、组装要点</t>
        </is>
      </c>
      <c r="E178" s="40" t="inlineStr">
        <is>
          <t>LeRobot 文档（SO-101 章节）</t>
        </is>
      </c>
      <c r="F178" s="41" t="inlineStr">
        <is>
          <t>—</t>
        </is>
      </c>
      <c r="G178" s="39" t="inlineStr">
        <is>
          <t>列出配件清单与预算</t>
        </is>
      </c>
    </row>
    <row r="179" ht="30" customHeight="1">
      <c r="A179" s="61" t="n">
        <v>30</v>
      </c>
      <c r="B179" s="39" t="inlineStr">
        <is>
          <t>05/10–05/16</t>
        </is>
      </c>
      <c r="C179" s="61" t="inlineStr">
        <is>
          <t>周二</t>
        </is>
      </c>
      <c r="D179" s="39" t="inlineStr">
        <is>
          <t>标定：相机内外参、关节零点</t>
        </is>
      </c>
      <c r="E179" s="40" t="inlineStr">
        <is>
          <t>LeRobot 文档</t>
        </is>
      </c>
      <c r="F179" s="41" t="inlineStr">
        <is>
          <t>—</t>
        </is>
      </c>
      <c r="G179" s="39" t="inlineStr">
        <is>
          <t>标定误差可复现</t>
        </is>
      </c>
    </row>
    <row r="180" ht="30" customHeight="1">
      <c r="A180" s="61" t="n">
        <v>30</v>
      </c>
      <c r="B180" s="39" t="inlineStr">
        <is>
          <t>05/10–05/16</t>
        </is>
      </c>
      <c r="C180" s="61" t="inlineStr">
        <is>
          <t>周三</t>
        </is>
      </c>
      <c r="D180" s="39" t="inlineStr">
        <is>
          <t>遥操作采数：50 条示教的规范</t>
        </is>
      </c>
      <c r="E180" s="45" t="inlineStr">
        <is>
          <t>—（无需材料）</t>
        </is>
      </c>
      <c r="F180" s="41" t="inlineStr">
        <is>
          <t>—</t>
        </is>
      </c>
      <c r="G180" s="39" t="inlineStr">
        <is>
          <t>数据字段完整、时间戳对齐</t>
        </is>
      </c>
    </row>
    <row r="181" ht="30" customHeight="1">
      <c r="A181" s="61" t="n">
        <v>30</v>
      </c>
      <c r="B181" s="39" t="inlineStr">
        <is>
          <t>05/10–05/16</t>
        </is>
      </c>
      <c r="C181" s="61" t="inlineStr">
        <is>
          <t>周四</t>
        </is>
      </c>
      <c r="D181" s="39" t="inlineStr">
        <is>
          <t>训练：小数据下的过拟合观察</t>
        </is>
      </c>
      <c r="E181" s="45" t="inlineStr">
        <is>
          <t>—（无需材料）</t>
        </is>
      </c>
      <c r="F181" s="41" t="inlineStr">
        <is>
          <t>—</t>
        </is>
      </c>
      <c r="G181" s="39" t="inlineStr">
        <is>
          <t>训练/验证 loss 曲线</t>
        </is>
      </c>
    </row>
    <row r="182" ht="30" customHeight="1">
      <c r="A182" s="61" t="n">
        <v>30</v>
      </c>
      <c r="B182" s="39" t="inlineStr">
        <is>
          <t>05/10–05/16</t>
        </is>
      </c>
      <c r="C182" s="61" t="inlineStr">
        <is>
          <t>周五</t>
        </is>
      </c>
      <c r="D182" s="39" t="inlineStr">
        <is>
          <t>实机回放，记录失败案例</t>
        </is>
      </c>
      <c r="E182" s="45" t="inlineStr">
        <is>
          <t>—（无需材料）</t>
        </is>
      </c>
      <c r="F182" s="41" t="inlineStr">
        <is>
          <t>—</t>
        </is>
      </c>
      <c r="G182" s="39" t="inlineStr">
        <is>
          <t>3 个失败模式：光照、遮挡、抓空</t>
        </is>
      </c>
    </row>
    <row r="183" ht="40" customHeight="1">
      <c r="A183" s="61" t="n">
        <v>30</v>
      </c>
      <c r="B183" s="39" t="inlineStr">
        <is>
          <t>05/10–05/16</t>
        </is>
      </c>
      <c r="C183" s="62" t="inlineStr">
        <is>
          <t>周末</t>
        </is>
      </c>
      <c r="D183" s="39" t="inlineStr">
        <is>
          <t>实战：50 条示教 + 一个能实机跑通的 policy；无硬件则做仿真等价物并说明…</t>
        </is>
      </c>
      <c r="E183" s="43" t="inlineStr">
        <is>
          <t>检索兜底：SO-101 组装 教程；lerobot 遥操作 采数</t>
        </is>
      </c>
      <c r="F183" s="63" t="inlineStr"/>
      <c r="G183" s="63" t="inlineStr"/>
    </row>
    <row r="184" ht="30" customHeight="1">
      <c r="A184" s="61" t="n">
        <v>31</v>
      </c>
      <c r="B184" s="39" t="inlineStr">
        <is>
          <t>05/17–05/23</t>
        </is>
      </c>
      <c r="C184" s="61" t="inlineStr">
        <is>
          <t>周一</t>
        </is>
      </c>
      <c r="D184" s="39" t="inlineStr">
        <is>
          <t>RT-2：把动作当成 token 来生成</t>
        </is>
      </c>
      <c r="E184" s="40" t="inlineStr">
        <is>
          <t>RT-2 论文</t>
        </is>
      </c>
      <c r="F184" s="41" t="inlineStr">
        <is>
          <t>—</t>
        </is>
      </c>
      <c r="G184" s="39" t="inlineStr">
        <is>
          <t>画清 action token 化的流程</t>
        </is>
      </c>
    </row>
    <row r="185" ht="30" customHeight="1">
      <c r="A185" s="61" t="n">
        <v>31</v>
      </c>
      <c r="B185" s="39" t="inlineStr">
        <is>
          <t>05/17–05/23</t>
        </is>
      </c>
      <c r="C185" s="61" t="inlineStr">
        <is>
          <t>周二</t>
        </is>
      </c>
      <c r="D185" s="39" t="inlineStr">
        <is>
          <t>OpenVLA：开源复现的关键取舍</t>
        </is>
      </c>
      <c r="E185" s="40" t="inlineStr">
        <is>
          <t>OpenVLA 论文</t>
        </is>
      </c>
      <c r="F185" s="40" t="inlineStr">
        <is>
          <t>项目页</t>
        </is>
      </c>
      <c r="G185" s="39" t="inlineStr">
        <is>
          <t>列出它与 RT-2 的 3 个差异</t>
        </is>
      </c>
    </row>
    <row r="186" ht="30" customHeight="1">
      <c r="A186" s="61" t="n">
        <v>31</v>
      </c>
      <c r="B186" s="39" t="inlineStr">
        <is>
          <t>05/17–05/23</t>
        </is>
      </c>
      <c r="C186" s="61" t="inlineStr">
        <is>
          <t>周三</t>
        </is>
      </c>
      <c r="D186" s="39" t="inlineStr">
        <is>
          <t>动作表示：离散 token vs 连续回归</t>
        </is>
      </c>
      <c r="E186" s="45" t="inlineStr">
        <is>
          <t>—（无需材料）</t>
        </is>
      </c>
      <c r="F186" s="41" t="inlineStr">
        <is>
          <t>—</t>
        </is>
      </c>
      <c r="G186" s="39" t="inlineStr">
        <is>
          <t>一页对比表</t>
        </is>
      </c>
    </row>
    <row r="187" ht="30" customHeight="1">
      <c r="A187" s="61" t="n">
        <v>31</v>
      </c>
      <c r="B187" s="39" t="inlineStr">
        <is>
          <t>05/17–05/23</t>
        </is>
      </c>
      <c r="C187" s="61" t="inlineStr">
        <is>
          <t>周四</t>
        </is>
      </c>
      <c r="D187" s="39" t="inlineStr">
        <is>
          <t>数据规模与泛化：论文里的「涌现」可信吗</t>
        </is>
      </c>
      <c r="E187" s="45" t="inlineStr">
        <is>
          <t>—（无需材料）</t>
        </is>
      </c>
      <c r="F187" s="41" t="inlineStr">
        <is>
          <t>—</t>
        </is>
      </c>
      <c r="G187" s="39" t="inlineStr">
        <is>
          <t>写下 2 个你怀疑的实验设置</t>
        </is>
      </c>
    </row>
    <row r="188" ht="30" customHeight="1">
      <c r="A188" s="61" t="n">
        <v>31</v>
      </c>
      <c r="B188" s="39" t="inlineStr">
        <is>
          <t>05/17–05/23</t>
        </is>
      </c>
      <c r="C188" s="61" t="inlineStr">
        <is>
          <t>周五</t>
        </is>
      </c>
      <c r="D188" s="39" t="inlineStr">
        <is>
          <t>整理成可讲的 5 分钟版本</t>
        </is>
      </c>
      <c r="E188" s="45" t="inlineStr">
        <is>
          <t>—（无需材料）</t>
        </is>
      </c>
      <c r="F188" s="41" t="inlineStr">
        <is>
          <t>—</t>
        </is>
      </c>
      <c r="G188" s="39" t="inlineStr">
        <is>
          <t>不看论文能讲清架构</t>
        </is>
      </c>
    </row>
    <row r="189" ht="40" customHeight="1">
      <c r="A189" s="61" t="n">
        <v>31</v>
      </c>
      <c r="B189" s="39" t="inlineStr">
        <is>
          <t>05/17–05/23</t>
        </is>
      </c>
      <c r="C189" s="62" t="inlineStr">
        <is>
          <t>周末</t>
        </is>
      </c>
      <c r="D189" s="39" t="inlineStr">
        <is>
          <t>实战：论文笔记：输入输出、动作表示、训练数据、评测方式、你怀疑的点。</t>
        </is>
      </c>
      <c r="E189" s="43" t="inlineStr">
        <is>
          <t>检索兜底：OpenVLA 原理；action tokenization</t>
        </is>
      </c>
      <c r="F189" s="63" t="inlineStr"/>
      <c r="G189" s="63" t="inlineStr"/>
    </row>
    <row r="190" ht="30" customHeight="1">
      <c r="A190" s="61" t="n">
        <v>32</v>
      </c>
      <c r="B190" s="39" t="inlineStr">
        <is>
          <t>05/24–05/30</t>
        </is>
      </c>
      <c r="C190" s="61" t="inlineStr">
        <is>
          <t>周一</t>
        </is>
      </c>
      <c r="D190" s="39" t="inlineStr">
        <is>
          <t>π0：flow matching 生成动作块</t>
        </is>
      </c>
      <c r="E190" s="40" t="inlineStr">
        <is>
          <t>π0 论文</t>
        </is>
      </c>
      <c r="F190" s="41" t="inlineStr">
        <is>
          <t>—</t>
        </is>
      </c>
      <c r="G190" s="39" t="inlineStr">
        <is>
          <t>讲清 action chunk 与推理频率的关系</t>
        </is>
      </c>
    </row>
    <row r="191" ht="30" customHeight="1">
      <c r="A191" s="61" t="n">
        <v>32</v>
      </c>
      <c r="B191" s="39" t="inlineStr">
        <is>
          <t>05/24–05/30</t>
        </is>
      </c>
      <c r="C191" s="61" t="inlineStr">
        <is>
          <t>周二</t>
        </is>
      </c>
      <c r="D191" s="39" t="inlineStr">
        <is>
          <t>开源实现 openpi 的目录结构</t>
        </is>
      </c>
      <c r="E191" s="40" t="inlineStr">
        <is>
          <t>openpi</t>
        </is>
      </c>
      <c r="F191" s="41" t="inlineStr">
        <is>
          <t>—</t>
        </is>
      </c>
      <c r="G191" s="39" t="inlineStr">
        <is>
          <t>找到训练入口与配置项</t>
        </is>
      </c>
    </row>
    <row r="192" ht="30" customHeight="1">
      <c r="A192" s="61" t="n">
        <v>32</v>
      </c>
      <c r="B192" s="39" t="inlineStr">
        <is>
          <t>05/24–05/30</t>
        </is>
      </c>
      <c r="C192" s="61" t="inlineStr">
        <is>
          <t>周三</t>
        </is>
      </c>
      <c r="D192" s="39" t="inlineStr">
        <is>
          <t>GR00T：人形机器人的基础模型路线</t>
        </is>
      </c>
      <c r="E192" s="40" t="inlineStr">
        <is>
          <t>Isaac-GR00T</t>
        </is>
      </c>
      <c r="F192" s="41" t="inlineStr">
        <is>
          <t>—</t>
        </is>
      </c>
      <c r="G192" s="39" t="inlineStr">
        <is>
          <t>列出它对数据格式的要求</t>
        </is>
      </c>
    </row>
    <row r="193" ht="30" customHeight="1">
      <c r="A193" s="61" t="n">
        <v>32</v>
      </c>
      <c r="B193" s="39" t="inlineStr">
        <is>
          <t>05/24–05/30</t>
        </is>
      </c>
      <c r="C193" s="61" t="inlineStr">
        <is>
          <t>周四</t>
        </is>
      </c>
      <c r="D193" s="39" t="inlineStr">
        <is>
          <t>flow matching 与 diffusion 的关系</t>
        </is>
      </c>
      <c r="E193" s="40" t="inlineStr">
        <is>
          <t>Flow Matching 论文</t>
        </is>
      </c>
      <c r="F193" s="41" t="inlineStr">
        <is>
          <t>—</t>
        </is>
      </c>
      <c r="G193" s="39" t="inlineStr">
        <is>
          <t>能讲清两者异同</t>
        </is>
      </c>
    </row>
    <row r="194" ht="30" customHeight="1">
      <c r="A194" s="61" t="n">
        <v>32</v>
      </c>
      <c r="B194" s="39" t="inlineStr">
        <is>
          <t>05/24–05/30</t>
        </is>
      </c>
      <c r="C194" s="61" t="inlineStr">
        <is>
          <t>周五</t>
        </is>
      </c>
      <c r="D194" s="39" t="inlineStr">
        <is>
          <t>两代架构对比表</t>
        </is>
      </c>
      <c r="E194" s="45" t="inlineStr">
        <is>
          <t>—（无需材料）</t>
        </is>
      </c>
      <c r="F194" s="41" t="inlineStr">
        <is>
          <t>—</t>
        </is>
      </c>
      <c r="G194" s="39" t="inlineStr">
        <is>
          <t>动作表示/推理频率/数据规模/开源程度 四列</t>
        </is>
      </c>
    </row>
    <row r="195" ht="40" customHeight="1">
      <c r="A195" s="61" t="n">
        <v>32</v>
      </c>
      <c r="B195" s="39" t="inlineStr">
        <is>
          <t>05/24–05/30</t>
        </is>
      </c>
      <c r="C195" s="62" t="inlineStr">
        <is>
          <t>周末</t>
        </is>
      </c>
      <c r="D195" s="39" t="inlineStr">
        <is>
          <t>实战：一张对比表 + 一段「为什么 2025 年后都在用 flow matchin…</t>
        </is>
      </c>
      <c r="E195" s="43" t="inlineStr">
        <is>
          <t>检索兜底：flow matching 动作生成；pi0 架构</t>
        </is>
      </c>
      <c r="F195" s="63" t="inlineStr"/>
      <c r="G195" s="63" t="inlineStr"/>
    </row>
    <row r="196" ht="30" customHeight="1">
      <c r="A196" s="61" t="n">
        <v>33</v>
      </c>
      <c r="B196" s="39" t="inlineStr">
        <is>
          <t>05/31–06/06</t>
        </is>
      </c>
      <c r="C196" s="61" t="inlineStr">
        <is>
          <t>周一</t>
        </is>
      </c>
      <c r="D196" s="39" t="inlineStr">
        <is>
          <t>LIBERO 基准：任务集与成功判定</t>
        </is>
      </c>
      <c r="E196" s="40" t="inlineStr">
        <is>
          <t>LIBERO</t>
        </is>
      </c>
      <c r="F196" s="41" t="inlineStr">
        <is>
          <t>—</t>
        </is>
      </c>
      <c r="G196" s="39" t="inlineStr">
        <is>
          <t>列出 4 个 suite 的任务数</t>
        </is>
      </c>
    </row>
    <row r="197" ht="30" customHeight="1">
      <c r="A197" s="61" t="n">
        <v>33</v>
      </c>
      <c r="B197" s="39" t="inlineStr">
        <is>
          <t>05/31–06/06</t>
        </is>
      </c>
      <c r="C197" s="61" t="inlineStr">
        <is>
          <t>周二</t>
        </is>
      </c>
      <c r="D197" s="39" t="inlineStr">
        <is>
          <t>环境搭建：依赖、权重、显存估算</t>
        </is>
      </c>
      <c r="E197" s="40" t="inlineStr">
        <is>
          <t>OpenVLA 仓库</t>
        </is>
      </c>
      <c r="F197" s="41" t="inlineStr">
        <is>
          <t>—</t>
        </is>
      </c>
      <c r="G197" s="39" t="inlineStr">
        <is>
          <t>能加载权重并推理一次</t>
        </is>
      </c>
    </row>
    <row r="198" ht="30" customHeight="1">
      <c r="A198" s="61" t="n">
        <v>33</v>
      </c>
      <c r="B198" s="39" t="inlineStr">
        <is>
          <t>05/31–06/06</t>
        </is>
      </c>
      <c r="C198" s="61" t="inlineStr">
        <is>
          <t>周三</t>
        </is>
      </c>
      <c r="D198" s="39" t="inlineStr">
        <is>
          <t>跑 10 个任务的 zero-shot</t>
        </is>
      </c>
      <c r="E198" s="45" t="inlineStr">
        <is>
          <t>—（无需材料）</t>
        </is>
      </c>
      <c r="F198" s="41" t="inlineStr">
        <is>
          <t>—</t>
        </is>
      </c>
      <c r="G198" s="39" t="inlineStr">
        <is>
          <t>成功率、单步延迟、显存</t>
        </is>
      </c>
    </row>
    <row r="199" ht="30" customHeight="1">
      <c r="A199" s="61" t="n">
        <v>33</v>
      </c>
      <c r="B199" s="39" t="inlineStr">
        <is>
          <t>05/31–06/06</t>
        </is>
      </c>
      <c r="C199" s="61" t="inlineStr">
        <is>
          <t>周四</t>
        </is>
      </c>
      <c r="D199" s="39" t="inlineStr">
        <is>
          <t>与论文数字对比，记录差异</t>
        </is>
      </c>
      <c r="E199" s="45" t="inlineStr">
        <is>
          <t>—（无需材料）</t>
        </is>
      </c>
      <c r="F199" s="41" t="inlineStr">
        <is>
          <t>—</t>
        </is>
      </c>
      <c r="G199" s="39" t="inlineStr">
        <is>
          <t>差异归因：分辨率/步数/权重版本</t>
        </is>
      </c>
    </row>
    <row r="200" ht="30" customHeight="1">
      <c r="A200" s="61" t="n">
        <v>33</v>
      </c>
      <c r="B200" s="39" t="inlineStr">
        <is>
          <t>05/31–06/06</t>
        </is>
      </c>
      <c r="C200" s="61" t="inlineStr">
        <is>
          <t>周五</t>
        </is>
      </c>
      <c r="D200" s="39" t="inlineStr">
        <is>
          <t>写复现报告</t>
        </is>
      </c>
      <c r="E200" s="45" t="inlineStr">
        <is>
          <t>—（无需材料）</t>
        </is>
      </c>
      <c r="F200" s="41" t="inlineStr">
        <is>
          <t>—</t>
        </is>
      </c>
      <c r="G200" s="39" t="inlineStr">
        <is>
          <t>可复现步骤 + 差异分析</t>
        </is>
      </c>
    </row>
    <row r="201" ht="40" customHeight="1">
      <c r="A201" s="61" t="n">
        <v>33</v>
      </c>
      <c r="B201" s="39" t="inlineStr">
        <is>
          <t>05/31–06/06</t>
        </is>
      </c>
      <c r="C201" s="62" t="inlineStr">
        <is>
          <t>周末</t>
        </is>
      </c>
      <c r="D201" s="39" t="inlineStr">
        <is>
          <t>实战：复现报告：我的数字 vs 论文数字，差在哪、为什么。这份报告比「跑通了」值钱。</t>
        </is>
      </c>
      <c r="E201" s="43" t="inlineStr">
        <is>
          <t>检索兜底：LIBERO 复现；OpenVLA 显存 要求</t>
        </is>
      </c>
      <c r="F201" s="63" t="inlineStr"/>
      <c r="G201" s="63" t="inlineStr"/>
    </row>
    <row r="202" ht="30" customHeight="1">
      <c r="A202" s="61" t="n">
        <v>34</v>
      </c>
      <c r="B202" s="39" t="inlineStr">
        <is>
          <t>06/07–06/13</t>
        </is>
      </c>
      <c r="C202" s="61" t="inlineStr">
        <is>
          <t>周一</t>
        </is>
      </c>
      <c r="D202" s="39" t="inlineStr">
        <is>
          <t>LoRA 原理与秩的选择</t>
        </is>
      </c>
      <c r="E202" s="40" t="inlineStr">
        <is>
          <t>LoRA 论文</t>
        </is>
      </c>
      <c r="F202" s="41" t="inlineStr">
        <is>
          <t>—</t>
        </is>
      </c>
      <c r="G202" s="39" t="inlineStr">
        <is>
          <t>讲清为什么低秩够用</t>
        </is>
      </c>
    </row>
    <row r="203" ht="30" customHeight="1">
      <c r="A203" s="61" t="n">
        <v>34</v>
      </c>
      <c r="B203" s="39" t="inlineStr">
        <is>
          <t>06/07–06/13</t>
        </is>
      </c>
      <c r="C203" s="61" t="inlineStr">
        <is>
          <t>周二</t>
        </is>
      </c>
      <c r="D203" s="39" t="inlineStr">
        <is>
          <t>PEFT 库：给模型套 LoRA</t>
        </is>
      </c>
      <c r="E203" s="40" t="inlineStr">
        <is>
          <t>PEFT 文档</t>
        </is>
      </c>
      <c r="F203" s="41" t="inlineStr">
        <is>
          <t>—</t>
        </is>
      </c>
      <c r="G203" s="39" t="inlineStr">
        <is>
          <t>成功注入并打印可训练参数占比</t>
        </is>
      </c>
    </row>
    <row r="204" ht="30" customHeight="1">
      <c r="A204" s="61" t="n">
        <v>34</v>
      </c>
      <c r="B204" s="39" t="inlineStr">
        <is>
          <t>06/07–06/13</t>
        </is>
      </c>
      <c r="C204" s="61" t="inlineStr">
        <is>
          <t>周三</t>
        </is>
      </c>
      <c r="D204" s="39" t="inlineStr">
        <is>
          <t>微调脚本跑通（小 batch）</t>
        </is>
      </c>
      <c r="E204" s="45" t="inlineStr">
        <is>
          <t>—（无需材料）</t>
        </is>
      </c>
      <c r="F204" s="41" t="inlineStr">
        <is>
          <t>—</t>
        </is>
      </c>
      <c r="G204" s="39" t="inlineStr">
        <is>
          <t>loss 正常下降，显存可控</t>
        </is>
      </c>
    </row>
    <row r="205" ht="30" customHeight="1">
      <c r="A205" s="61" t="n">
        <v>34</v>
      </c>
      <c r="B205" s="39" t="inlineStr">
        <is>
          <t>06/07–06/13</t>
        </is>
      </c>
      <c r="C205" s="61" t="inlineStr">
        <is>
          <t>周四</t>
        </is>
      </c>
      <c r="D205" s="39" t="inlineStr">
        <is>
          <t>数据量消融：10 / 50 / 200 条</t>
        </is>
      </c>
      <c r="E205" s="45" t="inlineStr">
        <is>
          <t>—（无需材料）</t>
        </is>
      </c>
      <c r="F205" s="41" t="inlineStr">
        <is>
          <t>—</t>
        </is>
      </c>
      <c r="G205" s="39" t="inlineStr">
        <is>
          <t>三条曲线的成功率</t>
        </is>
      </c>
    </row>
    <row r="206" ht="30" customHeight="1">
      <c r="A206" s="61" t="n">
        <v>34</v>
      </c>
      <c r="B206" s="39" t="inlineStr">
        <is>
          <t>06/07–06/13</t>
        </is>
      </c>
      <c r="C206" s="61" t="inlineStr">
        <is>
          <t>周五</t>
        </is>
      </c>
      <c r="D206" s="39" t="inlineStr">
        <is>
          <t>微调前后对比与结论</t>
        </is>
      </c>
      <c r="E206" s="45" t="inlineStr">
        <is>
          <t>—（无需材料）</t>
        </is>
      </c>
      <c r="F206" s="41" t="inlineStr">
        <is>
          <t>—</t>
        </is>
      </c>
      <c r="G206" s="39" t="inlineStr">
        <is>
          <t>什么数据量开始不再涨</t>
        </is>
      </c>
    </row>
    <row r="207" ht="40" customHeight="1">
      <c r="A207" s="61" t="n">
        <v>34</v>
      </c>
      <c r="B207" s="39" t="inlineStr">
        <is>
          <t>06/07–06/13</t>
        </is>
      </c>
      <c r="C207" s="62" t="inlineStr">
        <is>
          <t>周末</t>
        </is>
      </c>
      <c r="D207" s="39" t="inlineStr">
        <is>
          <t>实战：微调报告：基线、微调后、消融曲线，以及「再给我 10 倍数据能涨多少」的估计。</t>
        </is>
      </c>
      <c r="E207" s="43" t="inlineStr">
        <is>
          <t>检索兜底：LoRA 微调 VLA；peft 参数占比</t>
        </is>
      </c>
      <c r="F207" s="63" t="inlineStr"/>
      <c r="G207" s="63" t="inlineStr"/>
    </row>
    <row r="208" ht="30" customHeight="1">
      <c r="A208" s="61" t="n">
        <v>35</v>
      </c>
      <c r="B208" s="39" t="inlineStr">
        <is>
          <t>06/14–06/20</t>
        </is>
      </c>
      <c r="C208" s="61" t="inlineStr">
        <is>
          <t>周一</t>
        </is>
      </c>
      <c r="D208" s="39" t="inlineStr">
        <is>
          <t>Isaac Lab 安装与环境验证</t>
        </is>
      </c>
      <c r="E208" s="40" t="inlineStr">
        <is>
          <t>Isaac Lab</t>
        </is>
      </c>
      <c r="F208" s="41" t="inlineStr">
        <is>
          <t>—</t>
        </is>
      </c>
      <c r="G208" s="39" t="inlineStr">
        <is>
          <t>跑通自带示例</t>
        </is>
      </c>
    </row>
    <row r="209" ht="30" customHeight="1">
      <c r="A209" s="61" t="n">
        <v>35</v>
      </c>
      <c r="B209" s="39" t="inlineStr">
        <is>
          <t>06/14–06/20</t>
        </is>
      </c>
      <c r="C209" s="61" t="inlineStr">
        <is>
          <t>周二</t>
        </is>
      </c>
      <c r="D209" s="39" t="inlineStr">
        <is>
          <t>Isaac Sim 界面：USD 资产、场景、物理</t>
        </is>
      </c>
      <c r="E209" s="40" t="inlineStr">
        <is>
          <t>Isaac Sim 文档</t>
        </is>
      </c>
      <c r="F209" s="41" t="inlineStr">
        <is>
          <t>—</t>
        </is>
      </c>
      <c r="G209" s="39" t="inlineStr">
        <is>
          <t>搭一个带桌子的场景</t>
        </is>
      </c>
    </row>
    <row r="210" ht="30" customHeight="1">
      <c r="A210" s="61" t="n">
        <v>35</v>
      </c>
      <c r="B210" s="39" t="inlineStr">
        <is>
          <t>06/14–06/20</t>
        </is>
      </c>
      <c r="C210" s="61" t="inlineStr">
        <is>
          <t>周三</t>
        </is>
      </c>
      <c r="D210" s="39" t="inlineStr">
        <is>
          <t>把机械臂与相机放进场景</t>
        </is>
      </c>
      <c r="E210" s="45" t="inlineStr">
        <is>
          <t>—（无需材料）</t>
        </is>
      </c>
      <c r="F210" s="41" t="inlineStr">
        <is>
          <t>—</t>
        </is>
      </c>
      <c r="G210" s="39" t="inlineStr">
        <is>
          <t>渲染出第一帧</t>
        </is>
      </c>
    </row>
    <row r="211" ht="30" customHeight="1">
      <c r="A211" s="61" t="n">
        <v>35</v>
      </c>
      <c r="B211" s="39" t="inlineStr">
        <is>
          <t>06/14–06/20</t>
        </is>
      </c>
      <c r="C211" s="61" t="inlineStr">
        <is>
          <t>周四</t>
        </is>
      </c>
      <c r="D211" s="39" t="inlineStr">
        <is>
          <t>并行环境与训练脚本</t>
        </is>
      </c>
      <c r="E211" s="40" t="inlineStr">
        <is>
          <t>Isaac Lab 训练</t>
        </is>
      </c>
      <c r="F211" s="41" t="inlineStr">
        <is>
          <t>—</t>
        </is>
      </c>
      <c r="G211" s="39" t="inlineStr">
        <is>
          <t>并行 64 环境跑起来</t>
        </is>
      </c>
    </row>
    <row r="212" ht="30" customHeight="1">
      <c r="A212" s="61" t="n">
        <v>35</v>
      </c>
      <c r="B212" s="39" t="inlineStr">
        <is>
          <t>06/14–06/20</t>
        </is>
      </c>
      <c r="C212" s="61" t="inlineStr">
        <is>
          <t>周五</t>
        </is>
      </c>
      <c r="D212" s="39" t="inlineStr">
        <is>
          <t>跑通一次抓取训练</t>
        </is>
      </c>
      <c r="E212" s="45" t="inlineStr">
        <is>
          <t>—（无需材料）</t>
        </is>
      </c>
      <c r="F212" s="41" t="inlineStr">
        <is>
          <t>—</t>
        </is>
      </c>
      <c r="G212" s="39" t="inlineStr">
        <is>
          <t>训练曲线 + 一段回放</t>
        </is>
      </c>
    </row>
    <row r="213" ht="40" customHeight="1">
      <c r="A213" s="61" t="n">
        <v>35</v>
      </c>
      <c r="B213" s="39" t="inlineStr">
        <is>
          <t>06/14–06/20</t>
        </is>
      </c>
      <c r="C213" s="62" t="inlineStr">
        <is>
          <t>周末</t>
        </is>
      </c>
      <c r="D213" s="39" t="inlineStr">
        <is>
          <t>实战：Isaac Lab 里搭一个抓取场景并跑通训练，记录显存与耗时。</t>
        </is>
      </c>
      <c r="E213" s="43" t="inlineStr">
        <is>
          <t>检索兜底：isaac lab 安装 报错；isaac sim usd 场景</t>
        </is>
      </c>
      <c r="F213" s="63" t="inlineStr"/>
      <c r="G213" s="63" t="inlineStr"/>
    </row>
    <row r="214" ht="30" customHeight="1">
      <c r="A214" s="61" t="n">
        <v>36</v>
      </c>
      <c r="B214" s="39" t="inlineStr">
        <is>
          <t>06/21–06/27</t>
        </is>
      </c>
      <c r="C214" s="61" t="inlineStr">
        <is>
          <t>周一</t>
        </is>
      </c>
      <c r="D214" s="39" t="inlineStr">
        <is>
          <t>域随机化：随机什么、随机多少</t>
        </is>
      </c>
      <c r="E214" s="40" t="inlineStr">
        <is>
          <t>NVIDIA SO-101 Sim2Real</t>
        </is>
      </c>
      <c r="F214" s="41" t="inlineStr">
        <is>
          <t>—</t>
        </is>
      </c>
      <c r="G214" s="39" t="inlineStr">
        <is>
          <t>列出 5 个随机化维度</t>
        </is>
      </c>
    </row>
    <row r="215" ht="30" customHeight="1">
      <c r="A215" s="61" t="n">
        <v>36</v>
      </c>
      <c r="B215" s="39" t="inlineStr">
        <is>
          <t>06/21–06/27</t>
        </is>
      </c>
      <c r="C215" s="61" t="inlineStr">
        <is>
          <t>周二</t>
        </is>
      </c>
      <c r="D215" s="39" t="inlineStr">
        <is>
          <t>相机标定与坐标系对齐</t>
        </is>
      </c>
      <c r="E215" s="40" t="inlineStr">
        <is>
          <t>ROS 2 标定</t>
        </is>
      </c>
      <c r="F215" s="41" t="inlineStr">
        <is>
          <t>—</t>
        </is>
      </c>
      <c r="G215" s="39" t="inlineStr">
        <is>
          <t>手眼标定误差 &lt; 5mm</t>
        </is>
      </c>
    </row>
    <row r="216" ht="30" customHeight="1">
      <c r="A216" s="61" t="n">
        <v>36</v>
      </c>
      <c r="B216" s="39" t="inlineStr">
        <is>
          <t>06/21–06/27</t>
        </is>
      </c>
      <c r="C216" s="61" t="inlineStr">
        <is>
          <t>周三</t>
        </is>
      </c>
      <c r="D216" s="39" t="inlineStr">
        <is>
          <t>延迟与噪声：控制频率、抖动建模</t>
        </is>
      </c>
      <c r="E216" s="45" t="inlineStr">
        <is>
          <t>—（无需材料）</t>
        </is>
      </c>
      <c r="F216" s="41" t="inlineStr">
        <is>
          <t>—</t>
        </is>
      </c>
      <c r="G216" s="39" t="inlineStr">
        <is>
          <t>测出端到端延迟</t>
        </is>
      </c>
    </row>
    <row r="217" ht="30" customHeight="1">
      <c r="A217" s="61" t="n">
        <v>36</v>
      </c>
      <c r="B217" s="39" t="inlineStr">
        <is>
          <t>06/21–06/27</t>
        </is>
      </c>
      <c r="C217" s="61" t="inlineStr">
        <is>
          <t>周四</t>
        </is>
      </c>
      <c r="D217" s="39" t="inlineStr">
        <is>
          <t>真机部署：推理频率与安全边界</t>
        </is>
      </c>
      <c r="E217" s="45" t="inlineStr">
        <is>
          <t>—（无需材料）</t>
        </is>
      </c>
      <c r="F217" s="41" t="inlineStr">
        <is>
          <t>—</t>
        </is>
      </c>
      <c r="G217" s="39" t="inlineStr">
        <is>
          <t>急停与力矩限制生效</t>
        </is>
      </c>
    </row>
    <row r="218" ht="30" customHeight="1">
      <c r="A218" s="61" t="n">
        <v>36</v>
      </c>
      <c r="B218" s="39" t="inlineStr">
        <is>
          <t>06/21–06/27</t>
        </is>
      </c>
      <c r="C218" s="61" t="inlineStr">
        <is>
          <t>周五</t>
        </is>
      </c>
      <c r="D218" s="39" t="inlineStr">
        <is>
          <t>记录失败：光照、反光、抓空</t>
        </is>
      </c>
      <c r="E218" s="45" t="inlineStr">
        <is>
          <t>—（无需材料）</t>
        </is>
      </c>
      <c r="F218" s="41" t="inlineStr">
        <is>
          <t>—</t>
        </is>
      </c>
      <c r="G218" s="39" t="inlineStr">
        <is>
          <t>5 条失败案例与改进假设</t>
        </is>
      </c>
    </row>
    <row r="219" ht="40" customHeight="1">
      <c r="A219" s="61" t="n">
        <v>36</v>
      </c>
      <c r="B219" s="39" t="inlineStr">
        <is>
          <t>06/21–06/27</t>
        </is>
      </c>
      <c r="C219" s="62" t="inlineStr">
        <is>
          <t>周末</t>
        </is>
      </c>
      <c r="D219" s="39" t="inlineStr">
        <is>
          <t>实战：一段「仿真训练 → 真机执行」的视频，以及一页失败分析。这段视频是面试里最容…</t>
        </is>
      </c>
      <c r="E219" s="43" t="inlineStr">
        <is>
          <t>检索兜底：sim2real gap 域随机化；手眼标定</t>
        </is>
      </c>
      <c r="F219" s="63" t="inlineStr"/>
      <c r="G219" s="63" t="inlineStr"/>
    </row>
    <row r="220" ht="30" customHeight="1">
      <c r="A220" s="61" t="n">
        <v>37</v>
      </c>
      <c r="B220" s="39" t="inlineStr">
        <is>
          <t>06/28–07/04</t>
        </is>
      </c>
      <c r="C220" s="61" t="inlineStr">
        <is>
          <t>周一</t>
        </is>
      </c>
      <c r="D220" s="39" t="inlineStr">
        <is>
          <t>评测协议：初始条件、重复次数、判定标准</t>
        </is>
      </c>
      <c r="E220" s="40" t="inlineStr">
        <is>
          <t>LIBERO</t>
        </is>
      </c>
      <c r="F220" s="41" t="inlineStr">
        <is>
          <t>—</t>
        </is>
      </c>
      <c r="G220" s="39" t="inlineStr">
        <is>
          <t>写出你的评测协议文档</t>
        </is>
      </c>
    </row>
    <row r="221" ht="30" customHeight="1">
      <c r="A221" s="61" t="n">
        <v>37</v>
      </c>
      <c r="B221" s="39" t="inlineStr">
        <is>
          <t>06/28–07/04</t>
        </is>
      </c>
      <c r="C221" s="61" t="inlineStr">
        <is>
          <t>周二</t>
        </is>
      </c>
      <c r="D221" s="39" t="inlineStr">
        <is>
          <t>CALVIN：长程任务的评测方式</t>
        </is>
      </c>
      <c r="E221" s="40" t="inlineStr">
        <is>
          <t>CALVIN</t>
        </is>
      </c>
      <c r="F221" s="41" t="inlineStr">
        <is>
          <t>—</t>
        </is>
      </c>
      <c r="G221" s="39" t="inlineStr">
        <is>
          <t>讲清它与 LIBERO 的差别</t>
        </is>
      </c>
    </row>
    <row r="222" ht="30" customHeight="1">
      <c r="A222" s="61" t="n">
        <v>37</v>
      </c>
      <c r="B222" s="39" t="inlineStr">
        <is>
          <t>06/28–07/04</t>
        </is>
      </c>
      <c r="C222" s="61" t="inlineStr">
        <is>
          <t>周三</t>
        </is>
      </c>
      <c r="D222" s="39" t="inlineStr">
        <is>
          <t>同一 policy 在 3 种条件下的成功率</t>
        </is>
      </c>
      <c r="E222" s="45" t="inlineStr">
        <is>
          <t>—（无需材料）</t>
        </is>
      </c>
      <c r="F222" s="41" t="inlineStr">
        <is>
          <t>—</t>
        </is>
      </c>
      <c r="G222" s="39" t="inlineStr">
        <is>
          <t>光照/位置/物体 三组对比</t>
        </is>
      </c>
    </row>
    <row r="223" ht="30" customHeight="1">
      <c r="A223" s="61" t="n">
        <v>37</v>
      </c>
      <c r="B223" s="39" t="inlineStr">
        <is>
          <t>06/28–07/04</t>
        </is>
      </c>
      <c r="C223" s="61" t="inlineStr">
        <is>
          <t>周四</t>
        </is>
      </c>
      <c r="D223" s="39" t="inlineStr">
        <is>
          <t>数据质量：示教数据的偏置与覆盖</t>
        </is>
      </c>
      <c r="E223" s="45" t="inlineStr">
        <is>
          <t>—（无需材料）</t>
        </is>
      </c>
      <c r="F223" s="41" t="inlineStr">
        <is>
          <t>—</t>
        </is>
      </c>
      <c r="G223" s="39" t="inlineStr">
        <is>
          <t>统计覆盖度与偏置</t>
        </is>
      </c>
    </row>
    <row r="224" ht="30" customHeight="1">
      <c r="A224" s="61" t="n">
        <v>37</v>
      </c>
      <c r="B224" s="39" t="inlineStr">
        <is>
          <t>06/28–07/04</t>
        </is>
      </c>
      <c r="C224" s="61" t="inlineStr">
        <is>
          <t>周五</t>
        </is>
      </c>
      <c r="D224" s="39" t="inlineStr">
        <is>
          <t>可复现性：种子、版本、硬件记录</t>
        </is>
      </c>
      <c r="E224" s="45" t="inlineStr">
        <is>
          <t>—（无需材料）</t>
        </is>
      </c>
      <c r="F224" s="41" t="inlineStr">
        <is>
          <t>—</t>
        </is>
      </c>
      <c r="G224" s="39" t="inlineStr">
        <is>
          <t>别人按你的文档能复现 ±3%</t>
        </is>
      </c>
    </row>
    <row r="225" ht="40" customHeight="1">
      <c r="A225" s="61" t="n">
        <v>37</v>
      </c>
      <c r="B225" s="39" t="inlineStr">
        <is>
          <t>06/28–07/04</t>
        </is>
      </c>
      <c r="C225" s="62" t="inlineStr">
        <is>
          <t>周末</t>
        </is>
      </c>
      <c r="D225" s="39" t="inlineStr">
        <is>
          <t>实战：评测报告：协议、三组条件、方差、结论。这份东西能让你在具身团队里显得不像新手。</t>
        </is>
      </c>
      <c r="E225" s="43" t="inlineStr">
        <is>
          <t>检索兜底：机器人 policy 评测 协议；CALVIN 基准</t>
        </is>
      </c>
      <c r="F225" s="63" t="inlineStr"/>
      <c r="G225" s="63" t="inlineStr"/>
    </row>
    <row r="226" ht="30" customHeight="1">
      <c r="A226" s="61" t="n">
        <v>38</v>
      </c>
      <c r="B226" s="39" t="inlineStr">
        <is>
          <t>07/05–07/11</t>
        </is>
      </c>
      <c r="C226" s="61" t="inlineStr">
        <is>
          <t>周一</t>
        </is>
      </c>
      <c r="D226" s="39" t="inlineStr">
        <is>
          <t>技术报告结构：问题-方法-实验-结论-限制</t>
        </is>
      </c>
      <c r="E226" s="45" t="inlineStr">
        <is>
          <t>—（无需材料）</t>
        </is>
      </c>
      <c r="F226" s="41" t="inlineStr">
        <is>
          <t>—</t>
        </is>
      </c>
      <c r="G226" s="39" t="inlineStr">
        <is>
          <t>大纲先给一个人看，问「看得懂吗」</t>
        </is>
      </c>
    </row>
    <row r="227" ht="30" customHeight="1">
      <c r="A227" s="61" t="n">
        <v>38</v>
      </c>
      <c r="B227" s="39" t="inlineStr">
        <is>
          <t>07/05–07/11</t>
        </is>
      </c>
      <c r="C227" s="61" t="inlineStr">
        <is>
          <t>周二</t>
        </is>
      </c>
      <c r="D227" s="39" t="inlineStr">
        <is>
          <t>补实验：把最弱的那个数字补强</t>
        </is>
      </c>
      <c r="E227" s="45" t="inlineStr">
        <is>
          <t>—（无需材料）</t>
        </is>
      </c>
      <c r="F227" s="41" t="inlineStr">
        <is>
          <t>—</t>
        </is>
      </c>
      <c r="G227" s="39" t="inlineStr">
        <is>
          <t>至少一个指标超过基线</t>
        </is>
      </c>
    </row>
    <row r="228" ht="30" customHeight="1">
      <c r="A228" s="61" t="n">
        <v>38</v>
      </c>
      <c r="B228" s="39" t="inlineStr">
        <is>
          <t>07/05–07/11</t>
        </is>
      </c>
      <c r="C228" s="61" t="inlineStr">
        <is>
          <t>周三</t>
        </is>
      </c>
      <c r="D228" s="39" t="inlineStr">
        <is>
          <t>录 3 分钟 demo：问题、演示、数据</t>
        </is>
      </c>
      <c r="E228" s="45" t="inlineStr">
        <is>
          <t>—（无需材料）</t>
        </is>
      </c>
      <c r="F228" s="41" t="inlineStr">
        <is>
          <t>—</t>
        </is>
      </c>
      <c r="G228" s="39" t="inlineStr">
        <is>
          <t>不看稿、无废话</t>
        </is>
      </c>
    </row>
    <row r="229" ht="30" customHeight="1">
      <c r="A229" s="61" t="n">
        <v>38</v>
      </c>
      <c r="B229" s="39" t="inlineStr">
        <is>
          <t>07/05–07/11</t>
        </is>
      </c>
      <c r="C229" s="61" t="inlineStr">
        <is>
          <t>周四</t>
        </is>
      </c>
      <c r="D229" s="39" t="inlineStr">
        <is>
          <t>作品集页：两个 Agent 项目 + 一个具身项目</t>
        </is>
      </c>
      <c r="E229" s="45" t="inlineStr">
        <is>
          <t>—（无需材料）</t>
        </is>
      </c>
      <c r="F229" s="41" t="inlineStr">
        <is>
          <t>—</t>
        </is>
      </c>
      <c r="G229" s="39" t="inlineStr">
        <is>
          <t>一页能看完，链接可点</t>
        </is>
      </c>
    </row>
    <row r="230" ht="30" customHeight="1">
      <c r="A230" s="61" t="n">
        <v>38</v>
      </c>
      <c r="B230" s="39" t="inlineStr">
        <is>
          <t>07/05–07/11</t>
        </is>
      </c>
      <c r="C230" s="61" t="inlineStr">
        <is>
          <t>周五</t>
        </is>
      </c>
      <c r="D230" s="39" t="inlineStr">
        <is>
          <t>更新简历与自我介绍，投具身岗</t>
        </is>
      </c>
      <c r="E230" s="45" t="inlineStr">
        <is>
          <t>—（无需材料）</t>
        </is>
      </c>
      <c r="F230" s="41" t="inlineStr">
        <is>
          <t>—</t>
        </is>
      </c>
      <c r="G230" s="39" t="inlineStr">
        <is>
          <t>简历 v4</t>
        </is>
      </c>
    </row>
    <row r="231" ht="40" customHeight="1">
      <c r="A231" s="61" t="n">
        <v>38</v>
      </c>
      <c r="B231" s="39" t="inlineStr">
        <is>
          <t>07/05–07/11</t>
        </is>
      </c>
      <c r="C231" s="62" t="inlineStr">
        <is>
          <t>周末</t>
        </is>
      </c>
      <c r="D231" s="39" t="inlineStr">
        <is>
          <t>实战：里程碑 M6：demo 视频 + 技术报告 + 作品集页；把 38 周的仓库…</t>
        </is>
      </c>
      <c r="E231" s="43" t="inlineStr">
        <is>
          <t>检索兜底：技术报告 结构；具身智能 简历</t>
        </is>
      </c>
      <c r="F231" s="63" t="inlineStr"/>
      <c r="G231" s="63" t="inlineStr"/>
    </row>
  </sheetData>
  <autoFilter ref="A3:G231"/>
  <mergeCells count="1">
    <mergeCell ref="A1:F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F13" r:id="rId10"/>
    <hyperlink xmlns:r="http://schemas.openxmlformats.org/officeDocument/2006/relationships" ref="E14" r:id="rId11"/>
    <hyperlink xmlns:r="http://schemas.openxmlformats.org/officeDocument/2006/relationships" ref="E16" r:id="rId12"/>
    <hyperlink xmlns:r="http://schemas.openxmlformats.org/officeDocument/2006/relationships" ref="F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F19" r:id="rId17"/>
    <hyperlink xmlns:r="http://schemas.openxmlformats.org/officeDocument/2006/relationships" ref="E20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4" r:id="rId29"/>
    <hyperlink xmlns:r="http://schemas.openxmlformats.org/officeDocument/2006/relationships" ref="E35" r:id="rId30"/>
    <hyperlink xmlns:r="http://schemas.openxmlformats.org/officeDocument/2006/relationships" ref="E36" r:id="rId31"/>
    <hyperlink xmlns:r="http://schemas.openxmlformats.org/officeDocument/2006/relationships" ref="E37" r:id="rId32"/>
    <hyperlink xmlns:r="http://schemas.openxmlformats.org/officeDocument/2006/relationships" ref="E38" r:id="rId33"/>
    <hyperlink xmlns:r="http://schemas.openxmlformats.org/officeDocument/2006/relationships" ref="E40" r:id="rId34"/>
    <hyperlink xmlns:r="http://schemas.openxmlformats.org/officeDocument/2006/relationships" ref="E41" r:id="rId35"/>
    <hyperlink xmlns:r="http://schemas.openxmlformats.org/officeDocument/2006/relationships" ref="E42" r:id="rId36"/>
    <hyperlink xmlns:r="http://schemas.openxmlformats.org/officeDocument/2006/relationships" ref="E43" r:id="rId37"/>
    <hyperlink xmlns:r="http://schemas.openxmlformats.org/officeDocument/2006/relationships" ref="E44" r:id="rId38"/>
    <hyperlink xmlns:r="http://schemas.openxmlformats.org/officeDocument/2006/relationships" ref="E46" r:id="rId39"/>
    <hyperlink xmlns:r="http://schemas.openxmlformats.org/officeDocument/2006/relationships" ref="E47" r:id="rId40"/>
    <hyperlink xmlns:r="http://schemas.openxmlformats.org/officeDocument/2006/relationships" ref="E48" r:id="rId41"/>
    <hyperlink xmlns:r="http://schemas.openxmlformats.org/officeDocument/2006/relationships" ref="E49" r:id="rId42"/>
    <hyperlink xmlns:r="http://schemas.openxmlformats.org/officeDocument/2006/relationships" ref="E50" r:id="rId43"/>
    <hyperlink xmlns:r="http://schemas.openxmlformats.org/officeDocument/2006/relationships" ref="E52" r:id="rId44"/>
    <hyperlink xmlns:r="http://schemas.openxmlformats.org/officeDocument/2006/relationships" ref="E53" r:id="rId45"/>
    <hyperlink xmlns:r="http://schemas.openxmlformats.org/officeDocument/2006/relationships" ref="E54" r:id="rId46"/>
    <hyperlink xmlns:r="http://schemas.openxmlformats.org/officeDocument/2006/relationships" ref="F54" r:id="rId47"/>
    <hyperlink xmlns:r="http://schemas.openxmlformats.org/officeDocument/2006/relationships" ref="E55" r:id="rId48"/>
    <hyperlink xmlns:r="http://schemas.openxmlformats.org/officeDocument/2006/relationships" ref="E56" r:id="rId49"/>
    <hyperlink xmlns:r="http://schemas.openxmlformats.org/officeDocument/2006/relationships" ref="E58" r:id="rId50"/>
    <hyperlink xmlns:r="http://schemas.openxmlformats.org/officeDocument/2006/relationships" ref="E59" r:id="rId51"/>
    <hyperlink xmlns:r="http://schemas.openxmlformats.org/officeDocument/2006/relationships" ref="E60" r:id="rId52"/>
    <hyperlink xmlns:r="http://schemas.openxmlformats.org/officeDocument/2006/relationships" ref="E61" r:id="rId53"/>
    <hyperlink xmlns:r="http://schemas.openxmlformats.org/officeDocument/2006/relationships" ref="E62" r:id="rId54"/>
    <hyperlink xmlns:r="http://schemas.openxmlformats.org/officeDocument/2006/relationships" ref="E64" r:id="rId55"/>
    <hyperlink xmlns:r="http://schemas.openxmlformats.org/officeDocument/2006/relationships" ref="E65" r:id="rId56"/>
    <hyperlink xmlns:r="http://schemas.openxmlformats.org/officeDocument/2006/relationships" ref="E66" r:id="rId57"/>
    <hyperlink xmlns:r="http://schemas.openxmlformats.org/officeDocument/2006/relationships" ref="E67" r:id="rId58"/>
    <hyperlink xmlns:r="http://schemas.openxmlformats.org/officeDocument/2006/relationships" ref="E68" r:id="rId59"/>
    <hyperlink xmlns:r="http://schemas.openxmlformats.org/officeDocument/2006/relationships" ref="E70" r:id="rId60"/>
    <hyperlink xmlns:r="http://schemas.openxmlformats.org/officeDocument/2006/relationships" ref="E71" r:id="rId61"/>
    <hyperlink xmlns:r="http://schemas.openxmlformats.org/officeDocument/2006/relationships" ref="E72" r:id="rId62"/>
    <hyperlink xmlns:r="http://schemas.openxmlformats.org/officeDocument/2006/relationships" ref="E73" r:id="rId63"/>
    <hyperlink xmlns:r="http://schemas.openxmlformats.org/officeDocument/2006/relationships" ref="E74" r:id="rId64"/>
    <hyperlink xmlns:r="http://schemas.openxmlformats.org/officeDocument/2006/relationships" ref="E76" r:id="rId65"/>
    <hyperlink xmlns:r="http://schemas.openxmlformats.org/officeDocument/2006/relationships" ref="E77" r:id="rId66"/>
    <hyperlink xmlns:r="http://schemas.openxmlformats.org/officeDocument/2006/relationships" ref="E78" r:id="rId67"/>
    <hyperlink xmlns:r="http://schemas.openxmlformats.org/officeDocument/2006/relationships" ref="E79" r:id="rId68"/>
    <hyperlink xmlns:r="http://schemas.openxmlformats.org/officeDocument/2006/relationships" ref="E80" r:id="rId69"/>
    <hyperlink xmlns:r="http://schemas.openxmlformats.org/officeDocument/2006/relationships" ref="E82" r:id="rId70"/>
    <hyperlink xmlns:r="http://schemas.openxmlformats.org/officeDocument/2006/relationships" ref="E83" r:id="rId71"/>
    <hyperlink xmlns:r="http://schemas.openxmlformats.org/officeDocument/2006/relationships" ref="E84" r:id="rId72"/>
    <hyperlink xmlns:r="http://schemas.openxmlformats.org/officeDocument/2006/relationships" ref="E85" r:id="rId73"/>
    <hyperlink xmlns:r="http://schemas.openxmlformats.org/officeDocument/2006/relationships" ref="E86" r:id="rId74"/>
    <hyperlink xmlns:r="http://schemas.openxmlformats.org/officeDocument/2006/relationships" ref="E88" r:id="rId75"/>
    <hyperlink xmlns:r="http://schemas.openxmlformats.org/officeDocument/2006/relationships" ref="E89" r:id="rId76"/>
    <hyperlink xmlns:r="http://schemas.openxmlformats.org/officeDocument/2006/relationships" ref="E90" r:id="rId77"/>
    <hyperlink xmlns:r="http://schemas.openxmlformats.org/officeDocument/2006/relationships" ref="E91" r:id="rId78"/>
    <hyperlink xmlns:r="http://schemas.openxmlformats.org/officeDocument/2006/relationships" ref="E92" r:id="rId79"/>
    <hyperlink xmlns:r="http://schemas.openxmlformats.org/officeDocument/2006/relationships" ref="E95" r:id="rId80"/>
    <hyperlink xmlns:r="http://schemas.openxmlformats.org/officeDocument/2006/relationships" ref="E96" r:id="rId81"/>
    <hyperlink xmlns:r="http://schemas.openxmlformats.org/officeDocument/2006/relationships" ref="E100" r:id="rId82"/>
    <hyperlink xmlns:r="http://schemas.openxmlformats.org/officeDocument/2006/relationships" ref="E101" r:id="rId83"/>
    <hyperlink xmlns:r="http://schemas.openxmlformats.org/officeDocument/2006/relationships" ref="E102" r:id="rId84"/>
    <hyperlink xmlns:r="http://schemas.openxmlformats.org/officeDocument/2006/relationships" ref="E103" r:id="rId85"/>
    <hyperlink xmlns:r="http://schemas.openxmlformats.org/officeDocument/2006/relationships" ref="E104" r:id="rId86"/>
    <hyperlink xmlns:r="http://schemas.openxmlformats.org/officeDocument/2006/relationships" ref="E106" r:id="rId87"/>
    <hyperlink xmlns:r="http://schemas.openxmlformats.org/officeDocument/2006/relationships" ref="E107" r:id="rId88"/>
    <hyperlink xmlns:r="http://schemas.openxmlformats.org/officeDocument/2006/relationships" ref="E108" r:id="rId89"/>
    <hyperlink xmlns:r="http://schemas.openxmlformats.org/officeDocument/2006/relationships" ref="E109" r:id="rId90"/>
    <hyperlink xmlns:r="http://schemas.openxmlformats.org/officeDocument/2006/relationships" ref="E110" r:id="rId91"/>
    <hyperlink xmlns:r="http://schemas.openxmlformats.org/officeDocument/2006/relationships" ref="E112" r:id="rId92"/>
    <hyperlink xmlns:r="http://schemas.openxmlformats.org/officeDocument/2006/relationships" ref="E113" r:id="rId93"/>
    <hyperlink xmlns:r="http://schemas.openxmlformats.org/officeDocument/2006/relationships" ref="E114" r:id="rId94"/>
    <hyperlink xmlns:r="http://schemas.openxmlformats.org/officeDocument/2006/relationships" ref="E115" r:id="rId95"/>
    <hyperlink xmlns:r="http://schemas.openxmlformats.org/officeDocument/2006/relationships" ref="E116" r:id="rId96"/>
    <hyperlink xmlns:r="http://schemas.openxmlformats.org/officeDocument/2006/relationships" ref="E118" r:id="rId97"/>
    <hyperlink xmlns:r="http://schemas.openxmlformats.org/officeDocument/2006/relationships" ref="E119" r:id="rId98"/>
    <hyperlink xmlns:r="http://schemas.openxmlformats.org/officeDocument/2006/relationships" ref="E120" r:id="rId99"/>
    <hyperlink xmlns:r="http://schemas.openxmlformats.org/officeDocument/2006/relationships" ref="E121" r:id="rId100"/>
    <hyperlink xmlns:r="http://schemas.openxmlformats.org/officeDocument/2006/relationships" ref="E122" r:id="rId101"/>
    <hyperlink xmlns:r="http://schemas.openxmlformats.org/officeDocument/2006/relationships" ref="E125" r:id="rId102"/>
    <hyperlink xmlns:r="http://schemas.openxmlformats.org/officeDocument/2006/relationships" ref="E127" r:id="rId103"/>
    <hyperlink xmlns:r="http://schemas.openxmlformats.org/officeDocument/2006/relationships" ref="E128" r:id="rId104"/>
    <hyperlink xmlns:r="http://schemas.openxmlformats.org/officeDocument/2006/relationships" ref="E130" r:id="rId105"/>
    <hyperlink xmlns:r="http://schemas.openxmlformats.org/officeDocument/2006/relationships" ref="F130" r:id="rId106"/>
    <hyperlink xmlns:r="http://schemas.openxmlformats.org/officeDocument/2006/relationships" ref="E131" r:id="rId107"/>
    <hyperlink xmlns:r="http://schemas.openxmlformats.org/officeDocument/2006/relationships" ref="E136" r:id="rId108"/>
    <hyperlink xmlns:r="http://schemas.openxmlformats.org/officeDocument/2006/relationships" ref="E139" r:id="rId109"/>
    <hyperlink xmlns:r="http://schemas.openxmlformats.org/officeDocument/2006/relationships" ref="E142" r:id="rId110"/>
    <hyperlink xmlns:r="http://schemas.openxmlformats.org/officeDocument/2006/relationships" ref="E143" r:id="rId111"/>
    <hyperlink xmlns:r="http://schemas.openxmlformats.org/officeDocument/2006/relationships" ref="E146" r:id="rId112"/>
    <hyperlink xmlns:r="http://schemas.openxmlformats.org/officeDocument/2006/relationships" ref="E148" r:id="rId113"/>
    <hyperlink xmlns:r="http://schemas.openxmlformats.org/officeDocument/2006/relationships" ref="E149" r:id="rId114"/>
    <hyperlink xmlns:r="http://schemas.openxmlformats.org/officeDocument/2006/relationships" ref="E150" r:id="rId115"/>
    <hyperlink xmlns:r="http://schemas.openxmlformats.org/officeDocument/2006/relationships" ref="E151" r:id="rId116"/>
    <hyperlink xmlns:r="http://schemas.openxmlformats.org/officeDocument/2006/relationships" ref="E154" r:id="rId117"/>
    <hyperlink xmlns:r="http://schemas.openxmlformats.org/officeDocument/2006/relationships" ref="E155" r:id="rId118"/>
    <hyperlink xmlns:r="http://schemas.openxmlformats.org/officeDocument/2006/relationships" ref="E156" r:id="rId119"/>
    <hyperlink xmlns:r="http://schemas.openxmlformats.org/officeDocument/2006/relationships" ref="E157" r:id="rId120"/>
    <hyperlink xmlns:r="http://schemas.openxmlformats.org/officeDocument/2006/relationships" ref="E158" r:id="rId121"/>
    <hyperlink xmlns:r="http://schemas.openxmlformats.org/officeDocument/2006/relationships" ref="E160" r:id="rId122"/>
    <hyperlink xmlns:r="http://schemas.openxmlformats.org/officeDocument/2006/relationships" ref="E161" r:id="rId123"/>
    <hyperlink xmlns:r="http://schemas.openxmlformats.org/officeDocument/2006/relationships" ref="E162" r:id="rId124"/>
    <hyperlink xmlns:r="http://schemas.openxmlformats.org/officeDocument/2006/relationships" ref="E166" r:id="rId125"/>
    <hyperlink xmlns:r="http://schemas.openxmlformats.org/officeDocument/2006/relationships" ref="E167" r:id="rId126"/>
    <hyperlink xmlns:r="http://schemas.openxmlformats.org/officeDocument/2006/relationships" ref="E168" r:id="rId127"/>
    <hyperlink xmlns:r="http://schemas.openxmlformats.org/officeDocument/2006/relationships" ref="E169" r:id="rId128"/>
    <hyperlink xmlns:r="http://schemas.openxmlformats.org/officeDocument/2006/relationships" ref="E172" r:id="rId129"/>
    <hyperlink xmlns:r="http://schemas.openxmlformats.org/officeDocument/2006/relationships" ref="E173" r:id="rId130"/>
    <hyperlink xmlns:r="http://schemas.openxmlformats.org/officeDocument/2006/relationships" ref="E174" r:id="rId131"/>
    <hyperlink xmlns:r="http://schemas.openxmlformats.org/officeDocument/2006/relationships" ref="E175" r:id="rId132"/>
    <hyperlink xmlns:r="http://schemas.openxmlformats.org/officeDocument/2006/relationships" ref="E178" r:id="rId133"/>
    <hyperlink xmlns:r="http://schemas.openxmlformats.org/officeDocument/2006/relationships" ref="E179" r:id="rId134"/>
    <hyperlink xmlns:r="http://schemas.openxmlformats.org/officeDocument/2006/relationships" ref="E184" r:id="rId135"/>
    <hyperlink xmlns:r="http://schemas.openxmlformats.org/officeDocument/2006/relationships" ref="E185" r:id="rId136"/>
    <hyperlink xmlns:r="http://schemas.openxmlformats.org/officeDocument/2006/relationships" ref="F185" r:id="rId137"/>
    <hyperlink xmlns:r="http://schemas.openxmlformats.org/officeDocument/2006/relationships" ref="E190" r:id="rId138"/>
    <hyperlink xmlns:r="http://schemas.openxmlformats.org/officeDocument/2006/relationships" ref="E191" r:id="rId139"/>
    <hyperlink xmlns:r="http://schemas.openxmlformats.org/officeDocument/2006/relationships" ref="E192" r:id="rId140"/>
    <hyperlink xmlns:r="http://schemas.openxmlformats.org/officeDocument/2006/relationships" ref="E193" r:id="rId141"/>
    <hyperlink xmlns:r="http://schemas.openxmlformats.org/officeDocument/2006/relationships" ref="E196" r:id="rId142"/>
    <hyperlink xmlns:r="http://schemas.openxmlformats.org/officeDocument/2006/relationships" ref="E197" r:id="rId143"/>
    <hyperlink xmlns:r="http://schemas.openxmlformats.org/officeDocument/2006/relationships" ref="E202" r:id="rId144"/>
    <hyperlink xmlns:r="http://schemas.openxmlformats.org/officeDocument/2006/relationships" ref="E203" r:id="rId145"/>
    <hyperlink xmlns:r="http://schemas.openxmlformats.org/officeDocument/2006/relationships" ref="E208" r:id="rId146"/>
    <hyperlink xmlns:r="http://schemas.openxmlformats.org/officeDocument/2006/relationships" ref="E209" r:id="rId147"/>
    <hyperlink xmlns:r="http://schemas.openxmlformats.org/officeDocument/2006/relationships" ref="E211" r:id="rId148"/>
    <hyperlink xmlns:r="http://schemas.openxmlformats.org/officeDocument/2006/relationships" ref="E214" r:id="rId149"/>
    <hyperlink xmlns:r="http://schemas.openxmlformats.org/officeDocument/2006/relationships" ref="E215" r:id="rId150"/>
    <hyperlink xmlns:r="http://schemas.openxmlformats.org/officeDocument/2006/relationships" ref="E220" r:id="rId151"/>
    <hyperlink xmlns:r="http://schemas.openxmlformats.org/officeDocument/2006/relationships" ref="E221" r:id="rId15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4" customWidth="1" min="3" max="3"/>
    <col width="42" customWidth="1" min="4" max="4"/>
    <col width="44" customWidth="1" min="5" max="5"/>
    <col width="34" customWidth="1" min="6" max="6"/>
    <col width="9" customWidth="1" min="7" max="7"/>
  </cols>
  <sheetData>
    <row r="1" ht="32" customHeight="1">
      <c r="A1" s="27" t="inlineStr">
        <is>
          <t>38 周成果验收：一句话成果 / 证据 / 达标线 / 不合格的样子</t>
        </is>
      </c>
    </row>
    <row r="3" ht="26" customHeight="1">
      <c r="A3" s="37" t="inlineStr">
        <is>
          <t>周次</t>
        </is>
      </c>
      <c r="B3" s="37" t="inlineStr">
        <is>
          <t>日期</t>
        </is>
      </c>
      <c r="C3" s="37" t="inlineStr">
        <is>
          <t>本周成果（一句话）</t>
        </is>
      </c>
      <c r="D3" s="37" t="inlineStr">
        <is>
          <t>交付证据</t>
        </is>
      </c>
      <c r="E3" s="37" t="inlineStr">
        <is>
          <t>达标线</t>
        </is>
      </c>
      <c r="F3" s="37" t="inlineStr">
        <is>
          <t>不合格的样子</t>
        </is>
      </c>
      <c r="G3" s="37" t="inlineStr">
        <is>
          <t>状态</t>
        </is>
      </c>
    </row>
    <row r="4" ht="58" customHeight="1">
      <c r="A4" s="58" t="n">
        <v>1</v>
      </c>
      <c r="B4" s="39" t="inlineStr">
        <is>
          <t>10/19–10/25</t>
        </is>
      </c>
      <c r="C4" s="39" t="inlineStr">
        <is>
          <t>能用工程化方式调用 LLM，并说清 token 计费与首 token 延迟</t>
        </is>
      </c>
      <c r="D4" s="39" t="inlineStr">
        <is>
          <t>mini-llm-service 仓库首个 commit；`ask` 命令的录屏或 gif；一页笔记（流式与 SSE 的关系）</t>
        </is>
      </c>
      <c r="E4" s="39" t="inlineStr">
        <is>
          <t>`--stream` 逐字输出；`--debug` 打印 prompt/completion 两个 token 数；断网或超时 3 秒内报错且不崩</t>
        </is>
      </c>
      <c r="F4" s="39" t="inlineStr">
        <is>
          <t>直接 print 整段返回；没有超时配置；token 数靠估</t>
        </is>
      </c>
      <c r="G4" s="58" t="inlineStr">
        <is>
          <t>未开始</t>
        </is>
      </c>
    </row>
    <row r="5" ht="58" customHeight="1">
      <c r="A5" s="59" t="n">
        <v>2</v>
      </c>
      <c r="B5" s="60" t="inlineStr">
        <is>
          <t>10/26–11/01</t>
        </is>
      </c>
      <c r="C5" s="60" t="inlineStr">
        <is>
          <t>能交付一个「别人 clone 下来就能跑、能测」的服务</t>
        </is>
      </c>
      <c r="D5" s="60" t="inlineStr">
        <is>
          <t>/chat 服务 + 8 条 pytest + Dockerfile；README 里两条命令（build / run）</t>
        </is>
      </c>
      <c r="E5" s="60" t="inlineStr">
        <is>
          <t>`pytest -q` 全绿且不需要真 key（全 mock）；镜像 &lt; 1.2GB；curl 拿到流式</t>
        </is>
      </c>
      <c r="F5" s="60" t="inlineStr">
        <is>
          <t>测试要真 key、跑一次花两毛；Dockerfile 用 latest；没有 .dockerignore</t>
        </is>
      </c>
      <c r="G5" s="59" t="inlineStr">
        <is>
          <t>未开始</t>
        </is>
      </c>
    </row>
    <row r="6" ht="58" customHeight="1">
      <c r="A6" s="58" t="n">
        <v>3</v>
      </c>
      <c r="B6" s="39" t="inlineStr">
        <is>
          <t>11/02–11/08</t>
        </is>
      </c>
      <c r="C6" s="39" t="inlineStr">
        <is>
          <t>能把 50 份 PDF 变成可检索、可引用答案的知识库</t>
        </is>
      </c>
      <c r="D6" s="39" t="inlineStr">
        <is>
          <t>索引构建脚本 + 5 问 5 答的引用截图 + 解析失败清单</t>
        </is>
      </c>
      <c r="E6" s="39" t="inlineStr">
        <is>
          <t>抽 3 个含表格的 PDF 人工核对不丢内容；每条答案附 chunk 原文；重建索引 &lt; 5 分钟</t>
        </is>
      </c>
      <c r="F6" s="39" t="inlineStr">
        <is>
          <t>只支持 txt；引用写「来自文档」这种废话；表格解析成一团</t>
        </is>
      </c>
      <c r="G6" s="58" t="inlineStr">
        <is>
          <t>未开始</t>
        </is>
      </c>
    </row>
    <row r="7" ht="58" customHeight="1">
      <c r="A7" s="59" t="n">
        <v>4</v>
      </c>
      <c r="B7" s="60" t="inlineStr">
        <is>
          <t>11/09–11/15</t>
        </is>
      </c>
      <c r="C7" s="60" t="inlineStr">
        <is>
          <t>有一把尺子，能证明检索变好还是变坏</t>
        </is>
      </c>
      <c r="D7" s="60" t="inlineStr">
        <is>
          <t>30 条评测集（JSONL）+ 评测脚本 + 三种策略对比表</t>
        </is>
      </c>
      <c r="E7" s="60" t="inlineStr">
        <is>
          <t>人工确认 ≥20 条有效；一条命令跑完；表里同时有 Recall@5 与 MRR</t>
        </is>
      </c>
      <c r="F7" s="60" t="inlineStr">
        <is>
          <t>让模型自己出题自己答；只写「感觉更准了」</t>
        </is>
      </c>
      <c r="G7" s="59" t="inlineStr">
        <is>
          <t>未开始</t>
        </is>
      </c>
    </row>
    <row r="8" ht="58" customHeight="1">
      <c r="A8" s="58" t="n">
        <v>5</v>
      </c>
      <c r="B8" s="39" t="inlineStr">
        <is>
          <t>11/16–11/22</t>
        </is>
      </c>
      <c r="C8" s="39" t="inlineStr">
        <is>
          <t>能用改写、混合检索、重排把指标提上去，并说清各自代价</t>
        </is>
      </c>
      <c r="D8" s="39" t="inlineStr">
        <is>
          <t>四行消融表（基线 / +改写 / +混合 / +重排）+ 各方案延迟</t>
        </is>
      </c>
      <c r="E8" s="39" t="inlineStr">
        <is>
          <t>Recall@5 相对基线 ≥ +10%；每个改动的 P99 延迟增量有记录</t>
        </is>
      </c>
      <c r="F8" s="39" t="inlineStr">
        <is>
          <t>全开但不做消融，说不出哪一步真的有用</t>
        </is>
      </c>
      <c r="G8" s="58" t="inlineStr">
        <is>
          <t>未开始</t>
        </is>
      </c>
    </row>
    <row r="9" ht="58" customHeight="1">
      <c r="A9" s="59" t="n">
        <v>6</v>
      </c>
      <c r="B9" s="60" t="inlineStr">
        <is>
          <t>11/23–11/29</t>
        </is>
      </c>
      <c r="C9" s="60" t="inlineStr">
        <is>
          <t>能证明「答案没瞎编」，并把系统打包交付</t>
        </is>
      </c>
      <c r="D9" s="60" t="inlineStr">
        <is>
          <t>RAGAs 四指标报告（基线 vs 优化）+ Milvus 部署脚本 + v0.1 tag</t>
        </is>
      </c>
      <c r="E9" s="60" t="inlineStr">
        <is>
          <t>Faithfulness ≥ 0.85（达不到就写清基线并说明原因）；三条命令可复现</t>
        </is>
      </c>
      <c r="F9" s="60" t="inlineStr">
        <is>
          <t>只贴一个分数，没有对照组</t>
        </is>
      </c>
      <c r="G9" s="59" t="inlineStr">
        <is>
          <t>未开始</t>
        </is>
      </c>
    </row>
    <row r="10" ht="58" customHeight="1">
      <c r="A10" s="58" t="n">
        <v>7</v>
      </c>
      <c r="B10" s="39" t="inlineStr">
        <is>
          <t>11/30–12/06</t>
        </is>
      </c>
      <c r="C10" s="39" t="inlineStr">
        <is>
          <t>不看框架写出 150 行 Agent Loop，并能解释循环为什么停</t>
        </is>
      </c>
      <c r="D10" s="39" t="inlineStr">
        <is>
          <t>mini-agent 仓库 + 一次完整轨迹（JSONL，含每步耗时）</t>
        </is>
      </c>
      <c r="E10" s="39" t="inlineStr">
        <is>
          <t>3 个工具、最大步数、超时、解析失败重试齐全；轨迹能逐步回放</t>
        </is>
      </c>
      <c r="F10" s="39" t="inlineStr">
        <is>
          <t>`while True` 没有上限；工具调用写死在 prompt 描述里</t>
        </is>
      </c>
      <c r="G10" s="58" t="inlineStr">
        <is>
          <t>未开始</t>
        </is>
      </c>
    </row>
    <row r="11" ht="58" customHeight="1">
      <c r="A11" s="59" t="n">
        <v>8</v>
      </c>
      <c r="B11" s="60" t="inlineStr">
        <is>
          <t>12/07–12/13</t>
        </is>
      </c>
      <c r="C11" s="60" t="inlineStr">
        <is>
          <t>工具 30% 失败率下，Agent 仍能完成任务</t>
        </is>
      </c>
      <c r="D11" s="60" t="inlineStr">
        <is>
          <t>失败注入开关 + 三策略对比表（无重试 / 退避 / 降级）</t>
        </is>
      </c>
      <c r="E11" s="60" t="inlineStr">
        <is>
          <t>成功率 ≤70% → ≥95%；平均步数增幅 &lt; 30%；成本不翻倍</t>
        </is>
      </c>
      <c r="F11" s="60" t="inlineStr">
        <is>
          <t>只包了 try/except，没有降级路径</t>
        </is>
      </c>
      <c r="G11" s="59" t="inlineStr">
        <is>
          <t>未开始</t>
        </is>
      </c>
    </row>
    <row r="12" ht="58" customHeight="1">
      <c r="A12" s="58" t="n">
        <v>9</v>
      </c>
      <c r="B12" s="39" t="inlineStr">
        <is>
          <t>12/14–12/20</t>
        </is>
      </c>
      <c r="C12" s="39" t="inlineStr">
        <is>
          <t>能力能以 MCP Server 形式被任意客户端复用</t>
        </is>
      </c>
      <c r="D12" s="39" t="inlineStr">
        <is>
          <t>Server 仓库 + 契约测试 + 客户端调用截图</t>
        </is>
      </c>
      <c r="E12" s="39" t="inlineStr">
        <is>
          <t>5 条契约用例通过（含非法参数）；错误信息可读；README 有 3 条示例</t>
        </is>
      </c>
      <c r="F12" s="39" t="inlineStr">
        <is>
          <t>只能在自己脚本里 import，谈不上协议</t>
        </is>
      </c>
      <c r="G12" s="58" t="inlineStr">
        <is>
          <t>未开始</t>
        </is>
      </c>
    </row>
    <row r="13" ht="58" customHeight="1">
      <c r="A13" s="59" t="n">
        <v>10</v>
      </c>
      <c r="B13" s="60" t="inlineStr">
        <is>
          <t>12/21–12/27</t>
        </is>
      </c>
      <c r="C13" s="60" t="inlineStr">
        <is>
          <t>Agent 跨会话记得用户，且上下文不炸</t>
        </is>
      </c>
      <c r="D13" s="60" t="inlineStr">
        <is>
          <t>记忆库 + 20 轮对话日志 + 压缩前后 token 对比</t>
        </is>
      </c>
      <c r="E13" s="60" t="inlineStr">
        <is>
          <t>第 2 天能召回偏好；20 轮后 token 增长 &lt; 2 倍；10 条抽查召回准确率 ≥80%</t>
        </is>
      </c>
      <c r="F13" s="60" t="inlineStr">
        <is>
          <t>把所有历史一股脑塞进 prompt</t>
        </is>
      </c>
      <c r="G13" s="59" t="inlineStr">
        <is>
          <t>未开始</t>
        </is>
      </c>
    </row>
    <row r="14" ht="58" customHeight="1">
      <c r="A14" s="58" t="n">
        <v>11</v>
      </c>
      <c r="B14" s="39" t="inlineStr">
        <is>
          <t>12/28–01/03</t>
        </is>
      </c>
      <c r="C14" s="39" t="inlineStr">
        <is>
          <t>能让 Agent 停下来等人确认，也能读懂别人的 Harness</t>
        </is>
      </c>
      <c r="D14" s="39" t="inlineStr">
        <is>
          <t>research-agent 仓库 + 中断演示 + 一页拆解笔记</t>
        </is>
      </c>
      <c r="E14" s="39" t="inlineStr">
        <is>
          <t>高风险动作必须人工确认；进程被杀后能续跑；笔记指出 4 个机制的具体位置</t>
        </is>
      </c>
      <c r="F14" s="39" t="inlineStr">
        <is>
          <t>「多 Agent 就是多写几个 prompt」</t>
        </is>
      </c>
      <c r="G14" s="58" t="inlineStr">
        <is>
          <t>未开始</t>
        </is>
      </c>
    </row>
    <row r="15" ht="58" customHeight="1">
      <c r="A15" s="59" t="n">
        <v>12</v>
      </c>
      <c r="B15" s="60" t="inlineStr">
        <is>
          <t>01/04–01/10</t>
        </is>
      </c>
      <c r="C15" s="60" t="inlineStr">
        <is>
          <t>拿得出「优化前后」的硬指标</t>
        </is>
      </c>
      <c r="D15" s="60" t="inlineStr">
        <is>
          <t>火焰图 + QPS/P99 前后对比 + 改动清单</t>
        </is>
      </c>
      <c r="E15" s="60" t="inlineStr">
        <is>
          <t>QPS ≥3 倍或 P99 降 ≥50%，且成功率不变；每个改动能单独开关</t>
        </is>
      </c>
      <c r="F15" s="60" t="inlineStr">
        <is>
          <t>换成更贵的模型充数，还说「性能提升了」</t>
        </is>
      </c>
      <c r="G15" s="59" t="inlineStr">
        <is>
          <t>未开始</t>
        </is>
      </c>
    </row>
    <row r="16" ht="58" customHeight="1">
      <c r="A16" s="58" t="n">
        <v>13</v>
      </c>
      <c r="B16" s="39" t="inlineStr">
        <is>
          <t>01/11–01/17</t>
        </is>
      </c>
      <c r="C16" s="39" t="inlineStr">
        <is>
          <t>能把单次成本降下来，并说清代价</t>
        </is>
      </c>
      <c r="D16" s="39" t="inlineStr">
        <is>
          <t>成本拆解表（精确到分）+ 路由策略 + 质量对比</t>
        </is>
      </c>
      <c r="E16" s="39" t="inlineStr">
        <is>
          <t>单请求成本降 ≥40%；任务成功率下降 &lt; 3%</t>
        </is>
      </c>
      <c r="F16" s="39" t="inlineStr">
        <is>
          <t>只关缓存不测质量</t>
        </is>
      </c>
      <c r="G16" s="58" t="inlineStr">
        <is>
          <t>未开始</t>
        </is>
      </c>
    </row>
    <row r="17" ht="58" customHeight="1">
      <c r="A17" s="59" t="n">
        <v>14</v>
      </c>
      <c r="B17" s="60" t="inlineStr">
        <is>
          <t>01/18–01/24</t>
        </is>
      </c>
      <c r="C17" s="60" t="inlineStr">
        <is>
          <t>线上出问题，5 分钟内定位到具体哪一步</t>
        </is>
      </c>
      <c r="D17" s="60" t="inlineStr">
        <is>
          <t>trace 截图 + Grafana 大盘 + 2 条告警规则</t>
        </is>
      </c>
      <c r="E17" s="60" t="inlineStr">
        <is>
          <t>注入一次超时，仅凭 trace 定位；3 个业务指标 + 2 条告警可触发</t>
        </is>
      </c>
      <c r="F17" s="60" t="inlineStr">
        <is>
          <t>只有 print 日志，全链路靠猜</t>
        </is>
      </c>
      <c r="G17" s="59" t="inlineStr">
        <is>
          <t>未开始</t>
        </is>
      </c>
    </row>
    <row r="18" ht="58" customHeight="1">
      <c r="A18" s="58" t="n">
        <v>15</v>
      </c>
      <c r="B18" s="39" t="inlineStr">
        <is>
          <t>01/25–01/31</t>
        </is>
      </c>
      <c r="C18" s="39" t="inlineStr">
        <is>
          <t>一键起全栈，且扛住一次人为故障</t>
        </is>
      </c>
      <c r="D18" s="39" t="inlineStr">
        <is>
          <t>compose 文件 + CI 截图 + 故障演练报告</t>
        </is>
      </c>
      <c r="E18" s="39" t="inlineStr">
        <is>
          <t>`compose up` 90 秒内全绿；CI 5 分钟内跑完 pytest + eval；4 类故障有预期行为</t>
        </is>
      </c>
      <c r="F18" s="39" t="inlineStr">
        <is>
          <t>手工起服务；故障靠重启解决</t>
        </is>
      </c>
      <c r="G18" s="58" t="inlineStr">
        <is>
          <t>未开始</t>
        </is>
      </c>
    </row>
    <row r="19" ht="58" customHeight="1">
      <c r="A19" s="59" t="n">
        <v>16</v>
      </c>
      <c r="B19" s="60" t="inlineStr">
        <is>
          <t>02/01–02/07</t>
        </is>
      </c>
      <c r="C19" s="60" t="inlineStr">
        <is>
          <t>知道自己到哪了，欠账清零</t>
        </is>
      </c>
      <c r="D19" s="60" t="inlineStr">
        <is>
          <t>复盘笔记 + 指标总表（QPS / P99 / 成本 / 成功率）</t>
        </is>
      </c>
      <c r="E19" s="60" t="inlineStr">
        <is>
          <t>四个核心数字都有出处；所有仓库 README 都能跑</t>
        </is>
      </c>
      <c r="F19" s="60" t="inlineStr">
        <is>
          <t>用这周追进度，结果新债叠旧债</t>
        </is>
      </c>
      <c r="G19" s="59" t="inlineStr">
        <is>
          <t>未开始</t>
        </is>
      </c>
    </row>
    <row r="20" ht="58" customHeight="1">
      <c r="A20" s="58" t="n">
        <v>17</v>
      </c>
      <c r="B20" s="39" t="inlineStr">
        <is>
          <t>02/08–02/14</t>
        </is>
      </c>
      <c r="C20" s="39" t="inlineStr">
        <is>
          <t>有一套可判定的评测集，而不是「感觉」</t>
        </is>
      </c>
      <c r="D20" s="39" t="inlineStr">
        <is>
          <t>50 条任务集 + rubric 文档 + judge 校准记录</t>
        </is>
      </c>
      <c r="E20" s="39" t="inlineStr">
        <is>
          <t>5 类任务、4 档 rubric；人工标 30 条，judge 与人不一致率 &lt; 15%</t>
        </is>
      </c>
      <c r="F20" s="39" t="inlineStr">
        <is>
          <t>只用「答案是否含关键词」判定</t>
        </is>
      </c>
      <c r="G20" s="58" t="inlineStr">
        <is>
          <t>未开始</t>
        </is>
      </c>
    </row>
    <row r="21" ht="58" customHeight="1">
      <c r="A21" s="59" t="n">
        <v>18</v>
      </c>
      <c r="B21" s="60" t="inlineStr">
        <is>
          <t>02/15–02/21</t>
        </is>
      </c>
      <c r="C21" s="60" t="inlineStr">
        <is>
          <t>一条命令跑完回归，输出可对比的报告</t>
        </is>
      </c>
      <c r="D21" s="60" t="inlineStr">
        <is>
          <t>eval-harness v0.1 + 一次真实运行报告</t>
        </is>
      </c>
      <c r="E21" s="60" t="inlineStr">
        <is>
          <t>100 条 ≤3 分钟；输出通过率/步数/成本/延迟/失败分布；重复 3 次方差 &lt; 5%</t>
        </is>
      </c>
      <c r="F21" s="60" t="inlineStr">
        <is>
          <t>每次手动跑 notebook，结果存桌面</t>
        </is>
      </c>
      <c r="G21" s="59" t="inlineStr">
        <is>
          <t>未开始</t>
        </is>
      </c>
    </row>
    <row r="22" ht="58" customHeight="1">
      <c r="A22" s="58" t="n">
        <v>19</v>
      </c>
      <c r="B22" s="39" t="inlineStr">
        <is>
          <t>02/22–02/28</t>
        </is>
      </c>
      <c r="C22" s="39" t="inlineStr">
        <is>
          <t>能判断「这里不该用多 Agent」，并给出替代方案</t>
        </is>
      </c>
      <c r="D22" s="39" t="inlineStr">
        <is>
          <t>3 角色小系统 + 决策笔记（4 条判据 + 2 个反例）</t>
        </is>
      </c>
      <c r="E22" s="39" t="inlineStr">
        <is>
          <t>3 个角色的输入输出 schema 固定；反例能说明退回单 Agent 的收益</t>
        </is>
      </c>
      <c r="F22" s="39" t="inlineStr">
        <is>
          <t>为了简历堆角色，效果不如单 Agent</t>
        </is>
      </c>
      <c r="G22" s="58" t="inlineStr">
        <is>
          <t>未开始</t>
        </is>
      </c>
    </row>
    <row r="23" ht="58" customHeight="1">
      <c r="A23" s="59" t="n">
        <v>20</v>
      </c>
      <c r="B23" s="60" t="inlineStr">
        <is>
          <t>03/01–03/07</t>
        </is>
      </c>
      <c r="C23" s="60" t="inlineStr">
        <is>
          <t>写代码之前，手里已有 20 条验收用例</t>
        </is>
      </c>
      <c r="D23" s="60" t="inlineStr">
        <is>
          <t>设计文档 + 20 条用例（此刻全部失败）</t>
        </is>
      </c>
      <c r="E23" s="60" t="inlineStr">
        <is>
          <t>每条有输入、期望、判定方式；跑一遍能看到 20 条红</t>
        </is>
      </c>
      <c r="F23" s="60" t="inlineStr">
        <is>
          <t>先把功能写完，再补「用例」</t>
        </is>
      </c>
      <c r="G23" s="59" t="inlineStr">
        <is>
          <t>未开始</t>
        </is>
      </c>
    </row>
    <row r="24" ht="58" customHeight="1">
      <c r="A24" s="58" t="n">
        <v>21</v>
      </c>
      <c r="B24" s="39" t="inlineStr">
        <is>
          <t>03/08–03/14</t>
        </is>
      </c>
      <c r="C24" s="39" t="inlineStr">
        <is>
          <t>项目 1 的通过率曲线是真的</t>
        </is>
      </c>
      <c r="D24" s="39" t="inlineStr">
        <is>
          <t>20 条用例过 18+ + 四项指标表 + 部署脚本</t>
        </is>
      </c>
      <c r="E24" s="39" t="inlineStr">
        <is>
          <t>成功率 ≥90%；指标四项齐全；失败能归到类别</t>
        </is>
      </c>
      <c r="F24" s="39" t="inlineStr">
        <is>
          <t>挑简单用例凑数</t>
        </is>
      </c>
      <c r="G24" s="58" t="inlineStr">
        <is>
          <t>未开始</t>
        </is>
      </c>
    </row>
    <row r="25" ht="58" customHeight="1">
      <c r="A25" s="59" t="n">
        <v>22</v>
      </c>
      <c r="B25" s="60" t="inlineStr">
        <is>
          <t>03/15–03/21</t>
        </is>
      </c>
      <c r="C25" s="60" t="inlineStr">
        <is>
          <t>不懂命令行的人也能跑一次回归</t>
        </is>
      </c>
      <c r="D25" s="60" t="inlineStr">
        <is>
          <t>Web 界面 + 轨迹回放 + 版本 diff + 3 分钟视频</t>
        </is>
      </c>
      <c r="E25" s="60" t="inlineStr">
        <is>
          <t>上传 YAML → 跑批 → 看 diff 全流程 ≤5 分钟；报告可导出</t>
        </is>
      </c>
      <c r="F25" s="60" t="inlineStr">
        <is>
          <t>只有 CLI，还要求用户会装 Python</t>
        </is>
      </c>
      <c r="G25" s="59" t="inlineStr">
        <is>
          <t>未开始</t>
        </is>
      </c>
    </row>
    <row r="26" ht="58" customHeight="1">
      <c r="A26" s="58" t="n">
        <v>23</v>
      </c>
      <c r="B26" s="39" t="inlineStr">
        <is>
          <t>03/22–03/28</t>
        </is>
      </c>
      <c r="C26" s="39" t="inlineStr">
        <is>
          <t>项目能被 3 分钟讲清楚，且经得住追问</t>
        </is>
      </c>
      <c r="D26" s="39" t="inlineStr">
        <is>
          <t>简历 v3 + 3 分钟 / 10 分钟两版讲稿 + 录音</t>
        </is>
      </c>
      <c r="E26" s="39" t="inlineStr">
        <is>
          <t>不看稿讲完；每个数字说得出出处；准备好 3 个「为什么不」的答案</t>
        </is>
      </c>
      <c r="F26" s="39" t="inlineStr">
        <is>
          <t>简历写「熟悉 LangChain」</t>
        </is>
      </c>
      <c r="G26" s="58" t="inlineStr">
        <is>
          <t>未开始</t>
        </is>
      </c>
    </row>
    <row r="27" ht="58" customHeight="1">
      <c r="A27" s="59" t="n">
        <v>24</v>
      </c>
      <c r="B27" s="60" t="inlineStr">
        <is>
          <t>03/29–04/04</t>
        </is>
      </c>
      <c r="C27" s="60" t="inlineStr">
        <is>
          <t>第一批投递已发出，反馈已记录</t>
        </is>
      </c>
      <c r="D27" s="60" t="inlineStr">
        <is>
          <t>投递记录表（≥5 家）+ 2 场 mock 录像</t>
        </is>
      </c>
      <c r="E27" s="60" t="inlineStr">
        <is>
          <t>每家都有反馈字段；每场 mock 收 3 条改进项</t>
        </is>
      </c>
      <c r="F27" s="60" t="inlineStr">
        <is>
          <t>「再准备准备就投」</t>
        </is>
      </c>
      <c r="G27" s="59" t="inlineStr">
        <is>
          <t>未开始</t>
        </is>
      </c>
    </row>
    <row r="28" ht="58" customHeight="1">
      <c r="A28" s="58" t="n">
        <v>25</v>
      </c>
      <c r="B28" s="39" t="inlineStr">
        <is>
          <t>04/05–04/11</t>
        </is>
      </c>
      <c r="C28" s="39" t="inlineStr">
        <is>
          <t>能训一个模型，并讲清 VLA 与 LLM Agent 的差别</t>
        </is>
      </c>
      <c r="D28" s="39" t="inlineStr">
        <is>
          <t>MLP 训练脚本 + 一页笔记 + 3 分钟口述录音</t>
        </is>
      </c>
      <c r="E28" s="39" t="inlineStr">
        <is>
          <t>loss 收敛；能说出「动作不是文本」的 3 个理由</t>
        </is>
      </c>
      <c r="F28" s="39" t="inlineStr">
        <is>
          <t>只跑通官方 demo</t>
        </is>
      </c>
      <c r="G28" s="58" t="inlineStr">
        <is>
          <t>未开始</t>
        </is>
      </c>
    </row>
    <row r="29" ht="58" customHeight="1">
      <c r="A29" s="59" t="n">
        <v>26</v>
      </c>
      <c r="B29" s="60" t="inlineStr">
        <is>
          <t>04/12–04/18</t>
        </is>
      </c>
      <c r="C29" s="60" t="inlineStr">
        <is>
          <t>能算出关节角，并让 ROS 2 节点动起来</t>
        </is>
      </c>
      <c r="D29" s="60" t="inlineStr">
        <is>
          <t>逆解脚本 + rclpy 节点 + RViz 截图</t>
        </is>
      </c>
      <c r="E29" s="60" t="inlineStr">
        <is>
          <t>逆解误差 &lt; 1e-3；节点能发布关节指令；URDF 可视化正确</t>
        </is>
      </c>
      <c r="F29" s="60" t="inlineStr">
        <is>
          <t>只跑 turtlesim</t>
        </is>
      </c>
      <c r="G29" s="59" t="inlineStr">
        <is>
          <t>未开始</t>
        </is>
      </c>
    </row>
    <row r="30" ht="58" customHeight="1">
      <c r="A30" s="58" t="n">
        <v>27</v>
      </c>
      <c r="B30" s="39" t="inlineStr">
        <is>
          <t>04/19–04/25</t>
        </is>
      </c>
      <c r="C30" s="39" t="inlineStr">
        <is>
          <t>有自己的仿真环境，且基线是 0</t>
        </is>
      </c>
      <c r="D30" s="39" t="inlineStr">
        <is>
          <t>环境代码 + 随机策略基线曲线</t>
        </is>
      </c>
      <c r="E30" s="39" t="inlineStr">
        <is>
          <t>1000 步不崩；接口符合 Gymnasium 规范；成功率接近 0（此时正常）</t>
        </is>
      </c>
      <c r="F30" s="39" t="inlineStr">
        <is>
          <t>拿现成环境改个名字</t>
        </is>
      </c>
      <c r="G30" s="58" t="inlineStr">
        <is>
          <t>未开始</t>
        </is>
      </c>
    </row>
    <row r="31" ht="58" customHeight="1">
      <c r="A31" s="59" t="n">
        <v>28</v>
      </c>
      <c r="B31" s="60" t="inlineStr">
        <is>
          <t>04/26–05/02</t>
        </is>
      </c>
      <c r="C31" s="60" t="inlineStr">
        <is>
          <t>把 reach 训到 80%，并知道为什么</t>
        </is>
      </c>
      <c r="D31" s="60" t="inlineStr">
        <is>
          <t>训练曲线 + 成功率 + 3 条失败分析</t>
        </is>
      </c>
      <c r="E31" s="60" t="inlineStr">
        <is>
          <t>成功率 ≥80%；同种子复现波动 ±5% 内</t>
        </is>
      </c>
      <c r="F31" s="60" t="inlineStr">
        <is>
          <t>只贴一张好看的上升曲线</t>
        </is>
      </c>
      <c r="G31" s="59" t="inlineStr">
        <is>
          <t>未开始</t>
        </is>
      </c>
    </row>
    <row r="32" ht="58" customHeight="1">
      <c r="A32" s="58" t="n">
        <v>29</v>
      </c>
      <c r="B32" s="39" t="inlineStr">
        <is>
          <t>05/03–05/09</t>
        </is>
      </c>
      <c r="C32" s="39" t="inlineStr">
        <is>
          <t>能训一个抓取 policy，并解释行为克隆为什么会失效</t>
        </is>
      </c>
      <c r="D32" s="39" t="inlineStr">
        <is>
          <t>训练脚本 + 回放视频 + 失效分析</t>
        </is>
      </c>
      <c r="E32" s="39" t="inlineStr">
        <is>
          <t>视频里至少 1 次成功抓取；写出 3 个失效原因（复合误差、数据偏置、分布漂移）</t>
        </is>
      </c>
      <c r="F32" s="39" t="inlineStr">
        <is>
          <t>训练 loss 下降就宣布成功</t>
        </is>
      </c>
      <c r="G32" s="58" t="inlineStr">
        <is>
          <t>未开始</t>
        </is>
      </c>
    </row>
    <row r="33" ht="58" customHeight="1">
      <c r="A33" s="59" t="n">
        <v>30</v>
      </c>
      <c r="B33" s="60" t="inlineStr">
        <is>
          <t>05/10–05/16</t>
        </is>
      </c>
      <c r="C33" s="60" t="inlineStr">
        <is>
          <t>有真机（或仿真等价物）的数据闭环</t>
        </is>
      </c>
      <c r="D33" s="60" t="inlineStr">
        <is>
          <t>50 条示教数据 + 训练脚本 + 实机回放视频</t>
        </is>
      </c>
      <c r="E33" s="60" t="inlineStr">
        <is>
          <t>数据字段完整、能被 LeRobot 加载；实机至少 1 次成功</t>
        </is>
      </c>
      <c r="F33" s="60" t="inlineStr">
        <is>
          <t>数据是拼凑的，无法复现</t>
        </is>
      </c>
      <c r="G33" s="59" t="inlineStr">
        <is>
          <t>未开始</t>
        </is>
      </c>
    </row>
    <row r="34" ht="58" customHeight="1">
      <c r="A34" s="58" t="n">
        <v>31</v>
      </c>
      <c r="B34" s="39" t="inlineStr">
        <is>
          <t>05/17–05/23</t>
        </is>
      </c>
      <c r="C34" s="39" t="inlineStr">
        <is>
          <t>能讲清 OpenVLA 的四个问题：输入、输出、数据、评测</t>
        </is>
      </c>
      <c r="D34" s="39" t="inlineStr">
        <is>
          <t>论文笔记 + 5 分钟讲解录音</t>
        </is>
      </c>
      <c r="E34" s="39" t="inlineStr">
        <is>
          <t>四问都能答；能指出 2 个可疑的实验设置</t>
        </is>
      </c>
      <c r="F34" s="39" t="inlineStr">
        <is>
          <t>复述摘要</t>
        </is>
      </c>
      <c r="G34" s="58" t="inlineStr">
        <is>
          <t>未开始</t>
        </is>
      </c>
    </row>
    <row r="35" ht="58" customHeight="1">
      <c r="A35" s="59" t="n">
        <v>32</v>
      </c>
      <c r="B35" s="60" t="inlineStr">
        <is>
          <t>05/24–05/30</t>
        </is>
      </c>
      <c r="C35" s="60" t="inlineStr">
        <is>
          <t>能解释 flow matching 为什么取代离散 action token</t>
        </is>
      </c>
      <c r="D35" s="60" t="inlineStr">
        <is>
          <t>架构对比表（4 列齐全）+ 一页解释</t>
        </is>
      </c>
      <c r="E35" s="60" t="inlineStr">
        <is>
          <t>说清推理频率与 action chunk 的关系；说清两代的数据规模差异</t>
        </is>
      </c>
      <c r="F35" s="60" t="inlineStr">
        <is>
          <t>只会说「π0 更强」</t>
        </is>
      </c>
      <c r="G35" s="59" t="inlineStr">
        <is>
          <t>未开始</t>
        </is>
      </c>
    </row>
    <row r="36" ht="58" customHeight="1">
      <c r="A36" s="58" t="n">
        <v>33</v>
      </c>
      <c r="B36" s="39" t="inlineStr">
        <is>
          <t>05/31–06/06</t>
        </is>
      </c>
      <c r="C36" s="39" t="inlineStr">
        <is>
          <t>复现了 zero-shot，并知道差在哪</t>
        </is>
      </c>
      <c r="D36" s="39" t="inlineStr">
        <is>
          <t>复现报告（我的数字 vs 论文数字）</t>
        </is>
      </c>
      <c r="E36" s="39" t="inlineStr">
        <is>
          <t>跑通 10 个任务；差异有归因；别人照文档能复现</t>
        </is>
      </c>
      <c r="F36" s="39" t="inlineStr">
        <is>
          <t>只截图成功的那一次</t>
        </is>
      </c>
      <c r="G36" s="58" t="inlineStr">
        <is>
          <t>未开始</t>
        </is>
      </c>
    </row>
    <row r="37" ht="58" customHeight="1">
      <c r="A37" s="59" t="n">
        <v>34</v>
      </c>
      <c r="B37" s="60" t="inlineStr">
        <is>
          <t>06/07–06/13</t>
        </is>
      </c>
      <c r="C37" s="60" t="inlineStr">
        <is>
          <t>能用小数据把模型微调出可测的提升</t>
        </is>
      </c>
      <c r="D37" s="60" t="inlineStr">
        <is>
          <t>微调脚本 + 三档数据量消融曲线 + 对比表</t>
        </is>
      </c>
      <c r="E37" s="60" t="inlineStr">
        <is>
          <t>微调后成功率提升 ≥10 个百分点；10/50/200 三个点齐全</t>
        </is>
      </c>
      <c r="F37" s="60" t="inlineStr">
        <is>
          <t>全量微调烧钱，不做消融</t>
        </is>
      </c>
      <c r="G37" s="59" t="inlineStr">
        <is>
          <t>未开始</t>
        </is>
      </c>
    </row>
    <row r="38" ht="58" customHeight="1">
      <c r="A38" s="58" t="n">
        <v>35</v>
      </c>
      <c r="B38" s="39" t="inlineStr">
        <is>
          <t>06/14–06/20</t>
        </is>
      </c>
      <c r="C38" s="39" t="inlineStr">
        <is>
          <t>能在 Isaac 里搭场景并并行训练</t>
        </is>
      </c>
      <c r="D38" s="39" t="inlineStr">
        <is>
          <t>场景文件 + 训练日志 + 回放</t>
        </is>
      </c>
      <c r="E38" s="39" t="inlineStr">
        <is>
          <t>64 环境并行跑通；显存与耗时记录在案</t>
        </is>
      </c>
      <c r="F38" s="39" t="inlineStr">
        <is>
          <t>只打开了 GUI 截图</t>
        </is>
      </c>
      <c r="G38" s="58" t="inlineStr">
        <is>
          <t>未开始</t>
        </is>
      </c>
    </row>
    <row r="39" ht="58" customHeight="1">
      <c r="A39" s="59" t="n">
        <v>36</v>
      </c>
      <c r="B39" s="60" t="inlineStr">
        <is>
          <t>06/21–06/27</t>
        </is>
      </c>
      <c r="C39" s="60" t="inlineStr">
        <is>
          <t>仿真训出来的 policy 在真机上动了</t>
        </is>
      </c>
      <c r="D39" s="60" t="inlineStr">
        <is>
          <t>sim2real 视频 + 标定参数 + 失败清单</t>
        </is>
      </c>
      <c r="E39" s="60" t="inlineStr">
        <is>
          <t>至少 1 个任务端到端跑通；5 条失败案例各有假设</t>
        </is>
      </c>
      <c r="F39" s="60" t="inlineStr">
        <is>
          <t>只在仿真里「看起来能行」</t>
        </is>
      </c>
      <c r="G39" s="59" t="inlineStr">
        <is>
          <t>未开始</t>
        </is>
      </c>
    </row>
    <row r="40" ht="58" customHeight="1">
      <c r="A40" s="58" t="n">
        <v>37</v>
      </c>
      <c r="B40" s="39" t="inlineStr">
        <is>
          <t>06/28–07/04</t>
        </is>
      </c>
      <c r="C40" s="39" t="inlineStr">
        <is>
          <t>能给出一份可信的成功率，而不是一个数字</t>
        </is>
      </c>
      <c r="D40" s="39" t="inlineStr">
        <is>
          <t>评测协议 + 3 组条件对比 + 方差或置信区间</t>
        </is>
      </c>
      <c r="E40" s="39" t="inlineStr">
        <is>
          <t>每组 ≥20 次试验；给出波动范围；协议别人能照做</t>
        </is>
      </c>
      <c r="F40" s="39" t="inlineStr">
        <is>
          <t>跑 3 次取平均</t>
        </is>
      </c>
      <c r="G40" s="58" t="inlineStr">
        <is>
          <t>未开始</t>
        </is>
      </c>
    </row>
    <row r="41" ht="58" customHeight="1">
      <c r="A41" s="59" t="n">
        <v>38</v>
      </c>
      <c r="B41" s="60" t="inlineStr">
        <is>
          <t>07/05–07/11</t>
        </is>
      </c>
      <c r="C41" s="60" t="inlineStr">
        <is>
          <t>38 周被压缩成 3 分钟</t>
        </is>
      </c>
      <c r="D41" s="60" t="inlineStr">
        <is>
          <t>demo 视频 + 技术报告 + 作品集页 + 简历 v4</t>
        </is>
      </c>
      <c r="E41" s="60" t="inlineStr">
        <is>
          <t>外行看 3 分钟能说出你做了什么；3 个仓库置顶可点</t>
        </is>
      </c>
      <c r="F41" s="60" t="inlineStr">
        <is>
          <t>只剩一堆散乱的 notebook</t>
        </is>
      </c>
      <c r="G41" s="59" t="inlineStr">
        <is>
          <t>未开始</t>
        </is>
      </c>
    </row>
  </sheetData>
  <autoFilter ref="A3:G41"/>
  <mergeCells count="1">
    <mergeCell ref="A1:G1"/>
  </mergeCells>
  <conditionalFormatting sqref="G4:G41">
    <cfRule type="cellIs" priority="1" operator="equal" dxfId="0">
      <formula>"已达标"</formula>
    </cfRule>
    <cfRule type="cellIs" priority="2" operator="equal" dxfId="1">
      <formula>"进行中"</formula>
    </cfRule>
    <cfRule type="cellIs" priority="3" operator="equal" dxfId="2">
      <formula>"未达标"</formula>
    </cfRule>
  </conditionalFormatting>
  <dataValidations count="1">
    <dataValidation sqref="G4:G41" showDropDown="0" showInputMessage="0" showErrorMessage="0" allowBlank="0" errorTitle="状态不合法" error="只能是：未开始 / 进行中 / 已达标 / 未达标" type="list">
      <formula1>"未开始,进行中,已达标,未达标"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9" customWidth="1" min="3" max="3"/>
    <col width="58" customWidth="1" min="4" max="4"/>
    <col width="10" customWidth="1" min="5" max="5"/>
    <col width="26" customWidth="1" min="6" max="6"/>
  </cols>
  <sheetData>
    <row r="1" ht="32" customHeight="1">
      <c r="A1" s="27" t="inlineStr">
        <is>
          <t>六个里程碑 · 验收清单</t>
        </is>
      </c>
    </row>
    <row r="3">
      <c r="A3" s="28" t="inlineStr">
        <is>
          <t>里程碑</t>
        </is>
      </c>
      <c r="B3" s="28" t="inlineStr">
        <is>
          <t>目标日期</t>
        </is>
      </c>
      <c r="C3" s="28" t="inlineStr">
        <is>
          <t>对应周</t>
        </is>
      </c>
      <c r="D3" s="28" t="inlineStr">
        <is>
          <t>验收标准</t>
        </is>
      </c>
      <c r="E3" s="28" t="inlineStr">
        <is>
          <t>状态</t>
        </is>
      </c>
      <c r="F3" s="28" t="inlineStr">
        <is>
          <t>备注</t>
        </is>
      </c>
    </row>
    <row r="4" ht="30" customHeight="1">
      <c r="A4" s="29" t="inlineStr">
        <is>
          <t>M1　RAG 系统</t>
        </is>
      </c>
      <c r="B4" s="30" t="n">
        <v>46355</v>
      </c>
      <c r="C4" s="31" t="inlineStr">
        <is>
          <t>W1-W6</t>
        </is>
      </c>
      <c r="D4" s="29" t="inlineStr">
        <is>
          <t>30 条评测集可复跑，优化前后指标有对比表</t>
        </is>
      </c>
      <c r="E4" s="31" t="inlineStr">
        <is>
          <t>未开始</t>
        </is>
      </c>
      <c r="F4" s="29" t="n"/>
    </row>
    <row r="5" ht="30" customHeight="1">
      <c r="A5" s="32" t="inlineStr">
        <is>
          <t>M2　手写 Agent</t>
        </is>
      </c>
      <c r="B5" s="33" t="n">
        <v>46390</v>
      </c>
      <c r="C5" s="34" t="inlineStr">
        <is>
          <t>W7-W11</t>
        </is>
      </c>
      <c r="D5" s="32" t="inlineStr">
        <is>
          <t>150 行内跑通 loop，工具 / 重试 / trace 齐全</t>
        </is>
      </c>
      <c r="E5" s="34" t="inlineStr">
        <is>
          <t>未开始</t>
        </is>
      </c>
      <c r="F5" s="32" t="n"/>
    </row>
    <row r="6" ht="30" customHeight="1">
      <c r="A6" s="29" t="inlineStr">
        <is>
          <t>M3　可部署系统</t>
        </is>
      </c>
      <c r="B6" s="30" t="n">
        <v>46418</v>
      </c>
      <c r="C6" s="31" t="inlineStr">
        <is>
          <t>W12-W15</t>
        </is>
      </c>
      <c r="D6" s="29" t="inlineStr">
        <is>
          <t>compose up 一键起，有 QPS / P99 / 成本三项数据</t>
        </is>
      </c>
      <c r="E6" s="31" t="inlineStr">
        <is>
          <t>未开始</t>
        </is>
      </c>
      <c r="F6" s="29" t="n"/>
    </row>
    <row r="7" ht="30" customHeight="1">
      <c r="A7" s="32" t="inlineStr">
        <is>
          <t>M4　Eval Harness</t>
        </is>
      </c>
      <c r="B7" s="33" t="n">
        <v>46439</v>
      </c>
      <c r="C7" s="34" t="inlineStr">
        <is>
          <t>W17-W18</t>
        </is>
      </c>
      <c r="D7" s="32" t="inlineStr">
        <is>
          <t>一条命令输出通过率 / 步数 / 成本 / 失败分布</t>
        </is>
      </c>
      <c r="E7" s="34" t="inlineStr">
        <is>
          <t>未开始</t>
        </is>
      </c>
      <c r="F7" s="32" t="n"/>
    </row>
    <row r="8" ht="30" customHeight="1">
      <c r="A8" s="29" t="inlineStr">
        <is>
          <t>M5　两个简历项目</t>
        </is>
      </c>
      <c r="B8" s="30" t="n">
        <v>46467</v>
      </c>
      <c r="C8" s="31" t="inlineStr">
        <is>
          <t>W19-W22</t>
        </is>
      </c>
      <c r="D8" s="29" t="inlineStr">
        <is>
          <t>可运行 + 可评测 + README 有取舍说明</t>
        </is>
      </c>
      <c r="E8" s="31" t="inlineStr">
        <is>
          <t>未开始</t>
        </is>
      </c>
      <c r="F8" s="29" t="n"/>
    </row>
    <row r="9" ht="30" customHeight="1">
      <c r="A9" s="32" t="inlineStr">
        <is>
          <t>M6　具身 pipeline</t>
        </is>
      </c>
      <c r="B9" s="33" t="n">
        <v>46579</v>
      </c>
      <c r="C9" s="34" t="inlineStr">
        <is>
          <t>W25-W38</t>
        </is>
      </c>
      <c r="D9" s="32" t="inlineStr">
        <is>
          <t>仿真复现 + 微调 + sim2real + 评测报告 + 视频</t>
        </is>
      </c>
      <c r="E9" s="34" t="inlineStr">
        <is>
          <t>未开始</t>
        </is>
      </c>
      <c r="F9" s="32" t="n"/>
    </row>
  </sheetData>
  <mergeCells count="1">
    <mergeCell ref="A1:F1"/>
  </mergeCells>
  <dataValidations count="1">
    <dataValidation sqref="E4:E9" showDropDown="0" showInputMessage="0" showErrorMessage="0" allowBlank="0" type="list">
      <formula1>"未开始,进行中,已达成,未达成"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62" customWidth="1" min="3" max="3"/>
    <col width="40" customWidth="1" min="4" max="4"/>
    <col width="8" customWidth="1" min="5" max="5"/>
  </cols>
  <sheetData>
    <row r="1" ht="32" customHeight="1">
      <c r="A1" s="27" t="inlineStr">
        <is>
          <t>资源清单（每个阶段只留 3 个，贪多是最大的坑）</t>
        </is>
      </c>
    </row>
    <row r="3">
      <c r="A3" s="28" t="inlineStr">
        <is>
          <t>阶段</t>
        </is>
      </c>
      <c r="B3" s="28" t="inlineStr">
        <is>
          <t>资源</t>
        </is>
      </c>
      <c r="C3" s="28" t="inlineStr">
        <is>
          <t>链接</t>
        </is>
      </c>
      <c r="D3" s="28" t="inlineStr">
        <is>
          <t>用途</t>
        </is>
      </c>
      <c r="E3" s="28" t="inlineStr">
        <is>
          <t>优先级</t>
        </is>
      </c>
    </row>
    <row r="4" ht="28" customHeight="1">
      <c r="A4" s="21" t="inlineStr">
        <is>
          <t>阶段 0-2</t>
        </is>
      </c>
      <c r="B4" s="23" t="inlineStr">
        <is>
          <t>Anthropic: Building effective agents</t>
        </is>
      </c>
      <c r="C4" s="35" t="inlineStr">
        <is>
          <t>https://www.anthropic.com/engineering/building-effective-agents</t>
        </is>
      </c>
      <c r="D4" s="23" t="inlineStr">
        <is>
          <t>Agent 与 Workflow 的边界，必读三遍</t>
        </is>
      </c>
      <c r="E4" s="21" t="inlineStr">
        <is>
          <t>P0</t>
        </is>
      </c>
    </row>
    <row r="5" ht="28" customHeight="1">
      <c r="A5" s="24" t="inlineStr">
        <is>
          <t>阶段 0-2</t>
        </is>
      </c>
      <c r="B5" s="26" t="inlineStr">
        <is>
          <t>OpenAI: A practical guide to building agents</t>
        </is>
      </c>
      <c r="C5" s="36" t="inlineStr">
        <is>
          <t>openai.com/…</t>
        </is>
      </c>
      <c r="D5" s="26" t="inlineStr">
        <is>
          <t>工程视角的 Agent 设计</t>
        </is>
      </c>
      <c r="E5" s="24" t="inlineStr">
        <is>
          <t>P1</t>
        </is>
      </c>
    </row>
    <row r="6" ht="28" customHeight="1">
      <c r="A6" s="21" t="inlineStr">
        <is>
          <t>阶段 0-2</t>
        </is>
      </c>
      <c r="B6" s="23" t="inlineStr">
        <is>
          <t>Hello-Agents（Datawhale）</t>
        </is>
      </c>
      <c r="C6" s="35" t="inlineStr">
        <is>
          <t>https://datawhalechina.github.io/hello-agents/</t>
        </is>
      </c>
      <c r="D6" s="23" t="inlineStr">
        <is>
          <t>中文 Agent 主线教材</t>
        </is>
      </c>
      <c r="E6" s="21" t="inlineStr">
        <is>
          <t>P0</t>
        </is>
      </c>
    </row>
    <row r="7" ht="28" customHeight="1">
      <c r="A7" s="24" t="inlineStr">
        <is>
          <t>阶段 1</t>
        </is>
      </c>
      <c r="B7" s="26" t="inlineStr">
        <is>
          <t>All-in-RAG（Datawhale）</t>
        </is>
      </c>
      <c r="C7" s="36" t="inlineStr">
        <is>
          <t>https://github.com/datawhalechina/all-in-rag</t>
        </is>
      </c>
      <c r="D7" s="26" t="inlineStr">
        <is>
          <t>RAG 系统化实现</t>
        </is>
      </c>
      <c r="E7" s="24" t="inlineStr">
        <is>
          <t>P0</t>
        </is>
      </c>
    </row>
    <row r="8" ht="28" customHeight="1">
      <c r="A8" s="21" t="inlineStr">
        <is>
          <t>阶段 1</t>
        </is>
      </c>
      <c r="B8" s="23" t="inlineStr">
        <is>
          <t>RAG from Scratch</t>
        </is>
      </c>
      <c r="C8" s="35" t="inlineStr">
        <is>
          <t>https://github.com/langchain-ai/rag-from-scratch</t>
        </is>
      </c>
      <c r="D8" s="23" t="inlineStr">
        <is>
          <t>检索技术速查</t>
        </is>
      </c>
      <c r="E8" s="21" t="inlineStr">
        <is>
          <t>P1</t>
        </is>
      </c>
    </row>
    <row r="9" ht="28" customHeight="1">
      <c r="A9" s="24" t="inlineStr">
        <is>
          <t>阶段 1</t>
        </is>
      </c>
      <c r="B9" s="26" t="inlineStr">
        <is>
          <t>RAGAs</t>
        </is>
      </c>
      <c r="C9" s="36" t="inlineStr">
        <is>
          <t>https://docs.ragas.io/</t>
        </is>
      </c>
      <c r="D9" s="26" t="inlineStr">
        <is>
          <t>RAG 自动评估</t>
        </is>
      </c>
      <c r="E9" s="24" t="inlineStr">
        <is>
          <t>P0</t>
        </is>
      </c>
    </row>
    <row r="10" ht="28" customHeight="1">
      <c r="A10" s="21" t="inlineStr">
        <is>
          <t>阶段 2</t>
        </is>
      </c>
      <c r="B10" s="23" t="inlineStr">
        <is>
          <t>MCP 协议</t>
        </is>
      </c>
      <c r="C10" s="35" t="inlineStr">
        <is>
          <t>https://modelcontextprotocol.io/</t>
        </is>
      </c>
      <c r="D10" s="23" t="inlineStr">
        <is>
          <t>工具生态事实标准</t>
        </is>
      </c>
      <c r="E10" s="21" t="inlineStr">
        <is>
          <t>P0</t>
        </is>
      </c>
    </row>
    <row r="11" ht="28" customHeight="1">
      <c r="A11" s="24" t="inlineStr">
        <is>
          <t>阶段 2</t>
        </is>
      </c>
      <c r="B11" s="26" t="inlineStr">
        <is>
          <t>LangGraph</t>
        </is>
      </c>
      <c r="C11" s="36" t="inlineStr">
        <is>
          <t>https://langchain-ai.github.io/langgraph/</t>
        </is>
      </c>
      <c r="D11" s="26" t="inlineStr">
        <is>
          <t>状态机、中断、人工确认</t>
        </is>
      </c>
      <c r="E11" s="24" t="inlineStr">
        <is>
          <t>P0</t>
        </is>
      </c>
    </row>
    <row r="12" ht="28" customHeight="1">
      <c r="A12" s="21" t="inlineStr">
        <is>
          <t>阶段 2</t>
        </is>
      </c>
      <c r="B12" s="23" t="inlineStr">
        <is>
          <t>learn-claude-code</t>
        </is>
      </c>
      <c r="C12" s="35" t="inlineStr">
        <is>
          <t>https://github.com/shareAI-lab/learn-claude-code</t>
        </is>
      </c>
      <c r="D12" s="23" t="inlineStr">
        <is>
          <t>从零复刻 coding agent harness</t>
        </is>
      </c>
      <c r="E12" s="21" t="inlineStr">
        <is>
          <t>P1</t>
        </is>
      </c>
    </row>
    <row r="13" ht="28" customHeight="1">
      <c r="A13" s="24" t="inlineStr">
        <is>
          <t>阶段 3</t>
        </is>
      </c>
      <c r="B13" s="26" t="inlineStr">
        <is>
          <t>Langfuse</t>
        </is>
      </c>
      <c r="C13" s="36" t="inlineStr">
        <is>
          <t>https://langfuse.com/</t>
        </is>
      </c>
      <c r="D13" s="26" t="inlineStr">
        <is>
          <t>开源 trace，适合自建</t>
        </is>
      </c>
      <c r="E13" s="24" t="inlineStr">
        <is>
          <t>P0</t>
        </is>
      </c>
    </row>
    <row r="14" ht="28" customHeight="1">
      <c r="A14" s="21" t="inlineStr">
        <is>
          <t>阶段 3</t>
        </is>
      </c>
      <c r="B14" s="23" t="inlineStr">
        <is>
          <t>vLLM</t>
        </is>
      </c>
      <c r="C14" s="35" t="inlineStr">
        <is>
          <t>https://docs.vllm.ai/</t>
        </is>
      </c>
      <c r="D14" s="23" t="inlineStr">
        <is>
          <t>推理加速与吞吐测试</t>
        </is>
      </c>
      <c r="E14" s="21" t="inlineStr">
        <is>
          <t>P1</t>
        </is>
      </c>
    </row>
    <row r="15" ht="28" customHeight="1">
      <c r="A15" s="24" t="inlineStr">
        <is>
          <t>阶段 4</t>
        </is>
      </c>
      <c r="B15" s="26" t="inlineStr">
        <is>
          <t>DeepEval</t>
        </is>
      </c>
      <c r="C15" s="36" t="inlineStr">
        <is>
          <t>https://github.com/confident-ai/deepeval</t>
        </is>
      </c>
      <c r="D15" s="26" t="inlineStr">
        <is>
          <t>断言式评测</t>
        </is>
      </c>
      <c r="E15" s="24" t="inlineStr">
        <is>
          <t>P1</t>
        </is>
      </c>
    </row>
    <row r="16" ht="28" customHeight="1">
      <c r="A16" s="21" t="inlineStr">
        <is>
          <t>阶段 B</t>
        </is>
      </c>
      <c r="B16" s="23" t="inlineStr">
        <is>
          <t>Foundation_of_Embodied_AI</t>
        </is>
      </c>
      <c r="C16" s="35" t="inlineStr">
        <is>
          <t>https://github.com/zengxiong111/Foundation_of_Embodied_AI</t>
        </is>
      </c>
      <c r="D16" s="23" t="inlineStr">
        <is>
          <t>中文：机器人学 + Isaac + MuJoCo + RL</t>
        </is>
      </c>
      <c r="E16" s="21" t="inlineStr">
        <is>
          <t>P0</t>
        </is>
      </c>
    </row>
    <row r="17" ht="28" customHeight="1">
      <c r="A17" s="24" t="inlineStr">
        <is>
          <t>阶段 B</t>
        </is>
      </c>
      <c r="B17" s="26" t="inlineStr">
        <is>
          <t>awesome-vla-study</t>
        </is>
      </c>
      <c r="C17" s="36" t="inlineStr">
        <is>
          <t>https://github.com/MilkClouds/awesome-vla-study</t>
        </is>
      </c>
      <c r="D17" s="26" t="inlineStr">
        <is>
          <t>VLA 论文阅读顺序</t>
        </is>
      </c>
      <c r="E17" s="24" t="inlineStr">
        <is>
          <t>P0</t>
        </is>
      </c>
    </row>
    <row r="18" ht="28" customHeight="1">
      <c r="A18" s="21" t="inlineStr">
        <is>
          <t>阶段 B</t>
        </is>
      </c>
      <c r="B18" s="23" t="inlineStr">
        <is>
          <t>LeRobot（HuggingFace）</t>
        </is>
      </c>
      <c r="C18" s="35" t="inlineStr">
        <is>
          <t>https://github.com/huggingface/lerobot</t>
        </is>
      </c>
      <c r="D18" s="23" t="inlineStr">
        <is>
          <t>数据格式 + 训练 + SO-101</t>
        </is>
      </c>
      <c r="E18" s="21" t="inlineStr">
        <is>
          <t>P0</t>
        </is>
      </c>
    </row>
    <row r="19" ht="28" customHeight="1">
      <c r="A19" s="24" t="inlineStr">
        <is>
          <t>阶段 B</t>
        </is>
      </c>
      <c r="B19" s="26" t="inlineStr">
        <is>
          <t>openpi（π0）</t>
        </is>
      </c>
      <c r="C19" s="36" t="inlineStr">
        <is>
          <t>https://github.com/Physical-Intelligence/openpi</t>
        </is>
      </c>
      <c r="D19" s="26" t="inlineStr">
        <is>
          <t>开源 VLA 代表之一</t>
        </is>
      </c>
      <c r="E19" s="24" t="inlineStr">
        <is>
          <t>P0</t>
        </is>
      </c>
    </row>
    <row r="20" ht="28" customHeight="1">
      <c r="A20" s="21" t="inlineStr">
        <is>
          <t>阶段 B</t>
        </is>
      </c>
      <c r="B20" s="23" t="inlineStr">
        <is>
          <t>OpenVLA</t>
        </is>
      </c>
      <c r="C20" s="35" t="inlineStr">
        <is>
          <t>https://github.com/openvla/openvla</t>
        </is>
      </c>
      <c r="D20" s="23" t="inlineStr">
        <is>
          <t>开源 VLA 代表之二</t>
        </is>
      </c>
      <c r="E20" s="21" t="inlineStr">
        <is>
          <t>P1</t>
        </is>
      </c>
    </row>
    <row r="21" ht="28" customHeight="1">
      <c r="A21" s="24" t="inlineStr">
        <is>
          <t>阶段 B</t>
        </is>
      </c>
      <c r="B21" s="26" t="inlineStr">
        <is>
          <t>LIBERO</t>
        </is>
      </c>
      <c r="C21" s="36" t="inlineStr">
        <is>
          <t>https://github.com/Lifelong-Robot-Learning/LIBERO</t>
        </is>
      </c>
      <c r="D21" s="26" t="inlineStr">
        <is>
          <t>语言条件操作基准，复现首选</t>
        </is>
      </c>
      <c r="E21" s="24" t="inlineStr">
        <is>
          <t>P0</t>
        </is>
      </c>
    </row>
    <row r="22" ht="28" customHeight="1">
      <c r="A22" s="21" t="inlineStr">
        <is>
          <t>阶段 B</t>
        </is>
      </c>
      <c r="B22" s="23" t="inlineStr">
        <is>
          <t>MuJoCo + Gymnasium + SB3</t>
        </is>
      </c>
      <c r="C22" s="35" t="inlineStr">
        <is>
          <t>https://github.com/google-deepmind/mujoco</t>
        </is>
      </c>
      <c r="D22" s="23" t="inlineStr">
        <is>
          <t>RL 最小闭环</t>
        </is>
      </c>
      <c r="E22" s="21" t="inlineStr">
        <is>
          <t>P0</t>
        </is>
      </c>
    </row>
    <row r="23" ht="28" customHeight="1">
      <c r="A23" s="24" t="inlineStr">
        <is>
          <t>阶段 B</t>
        </is>
      </c>
      <c r="B23" s="26" t="inlineStr">
        <is>
          <t>Isaac Lab</t>
        </is>
      </c>
      <c r="C23" s="36" t="inlineStr">
        <is>
          <t>https://github.com/isaac-sim/IsaacLab</t>
        </is>
      </c>
      <c r="D23" s="26" t="inlineStr">
        <is>
          <t>GPU 并行仿真与 sim2real</t>
        </is>
      </c>
      <c r="E23" s="24" t="inlineStr">
        <is>
          <t>P1</t>
        </is>
      </c>
    </row>
    <row r="24" ht="28" customHeight="1">
      <c r="A24" s="21" t="inlineStr">
        <is>
          <t>阶段 B</t>
        </is>
      </c>
      <c r="B24" s="23" t="inlineStr">
        <is>
          <t>NVIDIA Physical AI 课程</t>
        </is>
      </c>
      <c r="C24" s="35" t="inlineStr">
        <is>
          <t>https://docs.nvidia.com/learning/physical-ai/robotics.html</t>
        </is>
      </c>
      <c r="D24" s="23" t="inlineStr">
        <is>
          <t>含 SO-101 sim2real 完整流程</t>
        </is>
      </c>
      <c r="E24" s="21" t="inlineStr">
        <is>
          <t>P1</t>
        </is>
      </c>
    </row>
  </sheetData>
  <mergeCells count="1">
    <mergeCell ref="A1:E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2026-10-19T09:07:45Z</dcterms:created>
  <dcterms:modified xmlns:dcterms="http://purl.org/dc/terms/" xmlns:xsi="http://www.w3.org/2001/XMLSchema-instance" xsi:type="dcterms:W3CDTF">2026-10-19T09:59:55Z</dcterms:modified>
</cp:coreProperties>
</file>